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ocuments\"/>
    </mc:Choice>
  </mc:AlternateContent>
  <xr:revisionPtr revIDLastSave="0" documentId="13_ncr:1_{77015A84-FCC7-425F-9D19-6650C63E398D}" xr6:coauthVersionLast="47" xr6:coauthVersionMax="47" xr10:uidLastSave="{00000000-0000-0000-0000-000000000000}"/>
  <bookViews>
    <workbookView xWindow="-110" yWindow="-110" windowWidth="19420" windowHeight="10300" xr2:uid="{858626F7-93D4-455F-A0C6-6367E088A815}"/>
  </bookViews>
  <sheets>
    <sheet name="ALERT_CONFIG" sheetId="26" r:id="rId1"/>
    <sheet name="EXECUTIVE_SUMMARY" sheetId="25" r:id="rId2"/>
    <sheet name="COMPLIANCE_AUDIT" sheetId="24" r:id="rId3"/>
    <sheet name="REAL_TIME_ALERTS" sheetId="23" r:id="rId4"/>
    <sheet name="PRESCRIPTIVE_ACTIONS" sheetId="22" r:id="rId5"/>
    <sheet name="PREDICTIVE_MODELS" sheetId="21" r:id="rId6"/>
    <sheet name="DASHBOARD" sheetId="1" r:id="rId7"/>
    <sheet name="RISK_ENTRY_FORM" sheetId="15" r:id="rId8"/>
    <sheet name="RISK_REGISTER" sheetId="13" r:id="rId9"/>
    <sheet name="EQUIPMENT_KPI_DASHBOARD" sheetId="17" r:id="rId10"/>
    <sheet name="EQUIPMENT_HEALTH_METRICS" sheetId="16" r:id="rId11"/>
    <sheet name="EQUIPMENT_STATUS" sheetId="3" r:id="rId12"/>
    <sheet name="USERAUTH" sheetId="4" r:id="rId13"/>
    <sheet name="INTEGRATED_RISK_DASHBOARD" sheetId="20" r:id="rId14"/>
    <sheet name="BATCH_ANOMALY_REPORT" sheetId="19" r:id="rId15"/>
    <sheet name="BATCH_EQUIPMENT_LINK" sheetId="18" r:id="rId16"/>
    <sheet name="FACILITY_CONFIG" sheetId="12" r:id="rId17"/>
    <sheet name="DATA_INTAKE" sheetId="11" r:id="rId18"/>
    <sheet name="FEATURES" sheetId="7" r:id="rId19"/>
    <sheet name="AUDIT_TRAIL" sheetId="14" r:id="rId20"/>
    <sheet name="AUDITLOG" sheetId="8" r:id="rId21"/>
    <sheet name="SENSORCACHE" sheetId="9" r:id="rId22"/>
  </sheets>
  <functionGroups builtInGroupCount="19"/>
  <definedNames>
    <definedName name="F_BatchID">RISK_ENTRY_FORM!$B$2</definedName>
    <definedName name="F_Confidence">RISK_ENTRY_FORM!$B$5</definedName>
    <definedName name="F_Driver1">RISK_ENTRY_FORM!$B$6</definedName>
    <definedName name="F_Driver2">RISK_ENTRY_FORM!$B$7</definedName>
    <definedName name="F_Driver3">RISK_ENTRY_FORM!$B$8</definedName>
    <definedName name="F_EquipmentID">RISK_ENTRY_FORM!$B$12</definedName>
    <definedName name="F_Recommendation">RISK_ENTRY_FORM!$B$9</definedName>
    <definedName name="F_ReviewNotes">RISK_ENTRY_FORM!$B$11</definedName>
    <definedName name="F_RiskScore">RISK_ENTRY_FORM!$B$4</definedName>
    <definedName name="F_Status">RISK_ENTRY_FORM!$B$10</definedName>
    <definedName name="F_SupplierID">RISK_ENTRY_FORM!$B$13</definedName>
    <definedName name="F_TenantID">RISK_ENTRY_FORM!$B$3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1" l="1" a="1"/>
  <c r="E19" i="1" s="1"/>
  <c r="E20" i="1" a="1"/>
  <c r="E20" i="1"/>
  <c r="E21" i="1" a="1"/>
  <c r="E21" i="1"/>
  <c r="E22" i="1" a="1"/>
  <c r="E22" i="1" s="1"/>
  <c r="E23" i="1" a="1"/>
  <c r="E23" i="1" s="1"/>
  <c r="E24" i="1" a="1"/>
  <c r="E24" i="1"/>
  <c r="E25" i="1" a="1"/>
  <c r="E25" i="1"/>
  <c r="E18" i="1" a="1"/>
  <c r="E18" i="1"/>
  <c r="D18" i="1" a="1"/>
  <c r="D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18" i="1" a="1"/>
  <c r="F18" i="1" s="1"/>
  <c r="B18" i="1" a="1"/>
  <c r="B18" i="1" s="1"/>
  <c r="D19" i="1" a="1"/>
  <c r="D19" i="1" s="1"/>
  <c r="D20" i="1" a="1"/>
  <c r="D20" i="1" s="1"/>
  <c r="D21" i="1" a="1"/>
  <c r="D21" i="1" s="1"/>
  <c r="D22" i="1" a="1"/>
  <c r="D22" i="1" s="1"/>
  <c r="D23" i="1" a="1"/>
  <c r="D23" i="1" s="1"/>
  <c r="D24" i="1" a="1"/>
  <c r="D24" i="1" s="1"/>
  <c r="D25" i="1" a="1"/>
  <c r="D25" i="1" s="1"/>
  <c r="C19" i="1" a="1"/>
  <c r="C19" i="1" s="1"/>
  <c r="C20" i="1" a="1"/>
  <c r="C20" i="1" s="1"/>
  <c r="C21" i="1" a="1"/>
  <c r="C21" i="1" s="1"/>
  <c r="C22" i="1" a="1"/>
  <c r="C22" i="1" s="1"/>
  <c r="C23" i="1" a="1"/>
  <c r="C23" i="1" s="1"/>
  <c r="C24" i="1" a="1"/>
  <c r="C24" i="1" s="1"/>
  <c r="C25" i="1" a="1"/>
  <c r="C25" i="1" s="1"/>
  <c r="C18" i="1" a="1"/>
  <c r="C18" i="1" s="1"/>
  <c r="B14" i="1"/>
  <c r="B9" i="1"/>
  <c r="B12" i="1"/>
  <c r="B19" i="1" a="1"/>
  <c r="B19" i="1" s="1"/>
  <c r="B20" i="1" a="1"/>
  <c r="B20" i="1" s="1"/>
  <c r="B21" i="1" a="1"/>
  <c r="B21" i="1" s="1"/>
  <c r="B22" i="1" a="1"/>
  <c r="B22" i="1" s="1"/>
  <c r="B23" i="1" a="1"/>
  <c r="B23" i="1" s="1"/>
  <c r="B24" i="1" a="1"/>
  <c r="B24" i="1" s="1"/>
  <c r="B25" i="1" a="1"/>
  <c r="B25" i="1" s="1"/>
  <c r="A19" i="1" a="1"/>
  <c r="A19" i="1" s="1"/>
  <c r="A20" i="1" a="1"/>
  <c r="A20" i="1" s="1"/>
  <c r="A21" i="1" a="1"/>
  <c r="A21" i="1" s="1"/>
  <c r="A22" i="1" a="1"/>
  <c r="A22" i="1" s="1"/>
  <c r="A23" i="1" a="1"/>
  <c r="A23" i="1" s="1"/>
  <c r="A24" i="1" a="1"/>
  <c r="A24" i="1" s="1"/>
  <c r="A25" i="1" a="1"/>
  <c r="A25" i="1" s="1"/>
  <c r="A18" i="1" a="1"/>
  <c r="A18" i="1" s="1"/>
  <c r="B6" i="1"/>
  <c r="B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<sst xmlns="http://schemas.openxmlformats.org/spreadsheetml/2006/main" count="2852" uniqueCount="1020">
  <si>
    <t>EXECUTIVE DASHBOARD</t>
  </si>
  <si>
    <t>LAST UPDATED</t>
  </si>
  <si>
    <t>TOTAL BATCHES</t>
  </si>
  <si>
    <t>(This batch cycle)</t>
  </si>
  <si>
    <t>PASS RATE</t>
  </si>
  <si>
    <t>(% of batches PASS recommendation)</t>
  </si>
  <si>
    <t>UNDER REVIEW</t>
  </si>
  <si>
    <t>(Pending investigation)</t>
  </si>
  <si>
    <t>(CRITICAL: Requires action)</t>
  </si>
  <si>
    <t>BATCH ID</t>
  </si>
  <si>
    <t>CONFIDENCE</t>
  </si>
  <si>
    <t>RECOMMENDATION</t>
  </si>
  <si>
    <t>TOP RISK DRIVER</t>
  </si>
  <si>
    <t>STATUS</t>
  </si>
  <si>
    <t>Timestamp</t>
  </si>
  <si>
    <t>Batch_ID</t>
  </si>
  <si>
    <t>Tenant_ID</t>
  </si>
  <si>
    <t>Status</t>
  </si>
  <si>
    <t>BATCH-2026-001</t>
  </si>
  <si>
    <t>TENANT_001</t>
  </si>
  <si>
    <t>PASS</t>
  </si>
  <si>
    <t>REVIEW</t>
  </si>
  <si>
    <t>Equipment_ID</t>
  </si>
  <si>
    <t>Equipment_Name</t>
  </si>
  <si>
    <t>Age_Hours</t>
  </si>
  <si>
    <t>Last_Maintenance</t>
  </si>
  <si>
    <t>Maintenance_Due</t>
  </si>
  <si>
    <t>Failure_Rate</t>
  </si>
  <si>
    <t>Next_Calibration</t>
  </si>
  <si>
    <t>Alerts</t>
  </si>
  <si>
    <t>Last_Checked</t>
  </si>
  <si>
    <t>REACTOR-001</t>
  </si>
  <si>
    <t>Main Reactor</t>
  </si>
  <si>
    <t>None</t>
  </si>
  <si>
    <t>REACTOR-002</t>
  </si>
  <si>
    <t>Secondary Reactor</t>
  </si>
  <si>
    <t>MIXER-001</t>
  </si>
  <si>
    <t>Username</t>
  </si>
  <si>
    <t>PasswordHash</t>
  </si>
  <si>
    <t>TenantID</t>
  </si>
  <si>
    <t>Role</t>
  </si>
  <si>
    <t>Email</t>
  </si>
  <si>
    <t>LastLogin</t>
  </si>
  <si>
    <t>Active</t>
  </si>
  <si>
    <t>admin</t>
  </si>
  <si>
    <t>3a4f8c2d5e9b1a6c</t>
  </si>
  <si>
    <t>ADMIN</t>
  </si>
  <si>
    <t>admin@pharma.com</t>
  </si>
  <si>
    <t>quality_manager</t>
  </si>
  <si>
    <t>4b5g9d3f6h0c2e7i</t>
  </si>
  <si>
    <t>QUALITY_MANAGER</t>
  </si>
  <si>
    <t>qm@pharma.com</t>
  </si>
  <si>
    <t>operator</t>
  </si>
  <si>
    <t>5c6h0e4g7i1d3f8j</t>
  </si>
  <si>
    <t>OPERATOR</t>
  </si>
  <si>
    <t>op@pharma.com</t>
  </si>
  <si>
    <t>viewer</t>
  </si>
  <si>
    <t>6d7i1f5h8j2e4g9k</t>
  </si>
  <si>
    <t>VIEWER</t>
  </si>
  <si>
    <t>view@pharma.com</t>
  </si>
  <si>
    <t>TenantName</t>
  </si>
  <si>
    <t>Facility_1</t>
  </si>
  <si>
    <t>Facility_2</t>
  </si>
  <si>
    <t>Facility_3</t>
  </si>
  <si>
    <t>RiskThreshold_HOLD</t>
  </si>
  <si>
    <t>RiskThreshold_REVIEW</t>
  </si>
  <si>
    <t>ConfidenceMinimum</t>
  </si>
  <si>
    <t>AlertRecipients_Email</t>
  </si>
  <si>
    <t>AlertRecipients_Slack</t>
  </si>
  <si>
    <t>SupportEmail</t>
  </si>
  <si>
    <t>MaxBatchesPerHour</t>
  </si>
  <si>
    <t>DataRetentionDays</t>
  </si>
  <si>
    <t>Product_Code</t>
  </si>
  <si>
    <t>Temperature_Mean</t>
  </si>
  <si>
    <t>Temperature_StdDev</t>
  </si>
  <si>
    <t>Temperature_Max</t>
  </si>
  <si>
    <t>Temperature_Min</t>
  </si>
  <si>
    <t>Duration_Hours</t>
  </si>
  <si>
    <t>Pressure_Mean</t>
  </si>
  <si>
    <t>Mixing_Speed</t>
  </si>
  <si>
    <t>Agitation_Rate</t>
  </si>
  <si>
    <t>Agitation_Duration</t>
  </si>
  <si>
    <t>Supplier_Code</t>
  </si>
  <si>
    <t>Material_Purity</t>
  </si>
  <si>
    <t>Material_Moisture</t>
  </si>
  <si>
    <t>Particle_Size</t>
  </si>
  <si>
    <t>Days_Since_Received</t>
  </si>
  <si>
    <t>COA_Status</t>
  </si>
  <si>
    <t>Material_Cost_Per_Kg</t>
  </si>
  <si>
    <t>Humidity_Deviation</t>
  </si>
  <si>
    <t>Pressure_Deviation</t>
  </si>
  <si>
    <t>Environmental_Audit</t>
  </si>
  <si>
    <t>Particle_Count</t>
  </si>
  <si>
    <t>Maintenance_Days_Ago</t>
  </si>
  <si>
    <t>Calibration_Days_Ago</t>
  </si>
  <si>
    <t>Operator_ID</t>
  </si>
  <si>
    <t>Previous_Success_Rate</t>
  </si>
  <si>
    <t>Previous_Failures</t>
  </si>
  <si>
    <t>CAPA_Required</t>
  </si>
  <si>
    <t>Processing_Status</t>
  </si>
  <si>
    <t>PROD-ABC-123</t>
  </si>
  <si>
    <t>SUP-001</t>
  </si>
  <si>
    <t>Pass</t>
  </si>
  <si>
    <t>OP-042</t>
  </si>
  <si>
    <t>No</t>
  </si>
  <si>
    <t>Temp_Mean</t>
  </si>
  <si>
    <t>Temp_StdDev</t>
  </si>
  <si>
    <t>Temp_Max</t>
  </si>
  <si>
    <t>Temp_Min</t>
  </si>
  <si>
    <t>Temp_Trend</t>
  </si>
  <si>
    <t>Temp_Volatility_Flag</t>
  </si>
  <si>
    <t>Supplier_ID_Encoded</t>
  </si>
  <si>
    <t>Supplier_Quality_Score</t>
  </si>
  <si>
    <t>COA_Flag</t>
  </si>
  <si>
    <t>Material_Cost</t>
  </si>
  <si>
    <t>Env_Audit_Flag</t>
  </si>
  <si>
    <t>Equipment_Failures</t>
  </si>
  <si>
    <t>Operator_Quality</t>
  </si>
  <si>
    <t>Hour_Of_Day</t>
  </si>
  <si>
    <t>Day_Of_Week</t>
  </si>
  <si>
    <t>Batch_Sequence</t>
  </si>
  <si>
    <t>Supplier_Batch_History</t>
  </si>
  <si>
    <t>Months_Since_Approval</t>
  </si>
  <si>
    <t>Season_Indicator</t>
  </si>
  <si>
    <t>CAPA_Flag</t>
  </si>
  <si>
    <t>Geopolitical_Risk</t>
  </si>
  <si>
    <t>Supplier_Financial_Score</t>
  </si>
  <si>
    <t>Regulatory_Flag</t>
  </si>
  <si>
    <t>Industry_Disruption</t>
  </si>
  <si>
    <t>SYSTEM</t>
  </si>
  <si>
    <t>SYSTEM_START</t>
  </si>
  <si>
    <t>N/A</t>
  </si>
  <si>
    <t>AERPA system initialized</t>
  </si>
  <si>
    <t>INFO</t>
  </si>
  <si>
    <t>3a4f8c2d</t>
  </si>
  <si>
    <t>LOCKED</t>
  </si>
  <si>
    <t>LOGIN_SUCCESS</t>
  </si>
  <si>
    <t>User admin logged in</t>
  </si>
  <si>
    <t>4b5g9d3f</t>
  </si>
  <si>
    <t>BATCH_PROCESSED</t>
  </si>
  <si>
    <t>Features engineered</t>
  </si>
  <si>
    <t>5c6h0e4g</t>
  </si>
  <si>
    <t>Quality_Score</t>
  </si>
  <si>
    <t>SUP-002</t>
  </si>
  <si>
    <t>SUP-003</t>
  </si>
  <si>
    <t>SUP-004</t>
  </si>
  <si>
    <t>SUP-005</t>
  </si>
  <si>
    <t>SUP-006</t>
  </si>
  <si>
    <t>SUP-007</t>
  </si>
  <si>
    <t>SUP-008</t>
  </si>
  <si>
    <t>SUP-009</t>
  </si>
  <si>
    <t>SUP-010</t>
  </si>
  <si>
    <t>SUP-011</t>
  </si>
  <si>
    <t>SUP-012</t>
  </si>
  <si>
    <t>Historical_Failure_Rate</t>
  </si>
  <si>
    <t>PROD-DEF-456</t>
  </si>
  <si>
    <t>PROD-GHI-789</t>
  </si>
  <si>
    <t>PROD-JKL-012</t>
  </si>
  <si>
    <t>PROD-MNO-345</t>
  </si>
  <si>
    <t>PROD-PQR-678</t>
  </si>
  <si>
    <t>PROD-STU-901</t>
  </si>
  <si>
    <t>PROD-VWX-234</t>
  </si>
  <si>
    <t>PROD-YZA-567</t>
  </si>
  <si>
    <t>PROD-BCD-890</t>
  </si>
  <si>
    <t>PROD-EFG-321</t>
  </si>
  <si>
    <t>PROD-HIJ-654</t>
  </si>
  <si>
    <t>Failure_Count</t>
  </si>
  <si>
    <t>MIXER-002</t>
  </si>
  <si>
    <t>DRYER-001</t>
  </si>
  <si>
    <t>CENTRIFUGE-001</t>
  </si>
  <si>
    <t>GRANULATOR-001</t>
  </si>
  <si>
    <t>OP-001</t>
  </si>
  <si>
    <t>OP-105</t>
  </si>
  <si>
    <t>OP-118</t>
  </si>
  <si>
    <t>OP-209</t>
  </si>
  <si>
    <t>OP-317</t>
  </si>
  <si>
    <t>OP-404</t>
  </si>
  <si>
    <t>BATCH-2026-002</t>
  </si>
  <si>
    <t>BATCH-2026-003</t>
  </si>
  <si>
    <t>BATCH-2026-004</t>
  </si>
  <si>
    <t>BATCH-2026-005</t>
  </si>
  <si>
    <t>BATCH-2026-006</t>
  </si>
  <si>
    <t>BATCH-2026-007</t>
  </si>
  <si>
    <t>BATCH-2026-008</t>
  </si>
  <si>
    <t>BATCH-2026-009</t>
  </si>
  <si>
    <t>BATCH-2026-010</t>
  </si>
  <si>
    <t>TENANT001</t>
  </si>
  <si>
    <t>SYSTEMSTART</t>
  </si>
  <si>
    <t>AERPA v1.0.0-ENTERPRISE initialized in 0.00ms | User: DEFAULT_USER | Role: OPERATOR | SessionID: 2026011016110265151 | Workstation: DESKTOP-2F74B0P</t>
  </si>
  <si>
    <t>DESKTOP-2F74B0P</t>
  </si>
  <si>
    <t>127.0.0.1</t>
  </si>
  <si>
    <t>DEFAULT_USER</t>
  </si>
  <si>
    <t>INTEGRATION_TEST</t>
  </si>
  <si>
    <t>Full test</t>
  </si>
  <si>
    <t>RECONCILIATION</t>
  </si>
  <si>
    <t>Audit reconciliation: 0 matched | 0 discrepancies</t>
  </si>
  <si>
    <t>SYSTEM_METRICS</t>
  </si>
  <si>
    <t>Ops: 0 | AvgTime: 0.00ms | Uptime: 66287058.9min | Errors: 0</t>
  </si>
  <si>
    <t>Ops: 0 | AvgTime: 0.00ms | Uptime: 66287059.2min | Errors: 0</t>
  </si>
  <si>
    <t>AERPA v1.0.0-ENTERPRISE initialized in 0.00ms | User: DEFAULT_USER | Role: OPERATOR | SessionID: 202601101619435B320 | Workstation: DESKTOP-2F74B0P</t>
  </si>
  <si>
    <t>202601101619435B320</t>
  </si>
  <si>
    <t>AERPA v1.0.0-ENTERPRISE initialized in 0.00ms | User: DEFAULT_USER | Role: OPERATOR | SessionID: 20260110162438DBAD | Workstation: DESKTOP-2F74B0P</t>
  </si>
  <si>
    <t>20260110162438DBAD</t>
  </si>
  <si>
    <t>DATA_CHANGE</t>
  </si>
  <si>
    <t>A1:A10</t>
  </si>
  <si>
    <t>Sheet: DASHBOARD | Old: Old_Value | New: New_Value</t>
  </si>
  <si>
    <t>DASHBOARD</t>
  </si>
  <si>
    <t>INTEGRITY_ERROR</t>
  </si>
  <si>
    <t>Audit record hash mismatch - possible tampering detected</t>
  </si>
  <si>
    <t>COMPLIANCE_CHECK</t>
  </si>
  <si>
    <t>21 CFR Part 11 Compliance Check: FAILED (1 failures)</t>
  </si>
  <si>
    <t>Tests: 4 PASSED | 6 FAILED</t>
  </si>
  <si>
    <t>AERPA v1.0.0-ENTERPRISE initialized in 0.00ms | User: DEFAULT_USER | Role: OPERATOR | SessionID: 2026011016315280244 | Workstation: DESKTOP-2F74B0P</t>
  </si>
  <si>
    <t>B1</t>
  </si>
  <si>
    <t>Sheet: RISKREGISTER | Old: Value_1 | New: Updated_1</t>
  </si>
  <si>
    <t>RISKREGISTER</t>
  </si>
  <si>
    <t>B2</t>
  </si>
  <si>
    <t>Sheet: RISKREGISTER | Old: Value_2 | New: Updated_2</t>
  </si>
  <si>
    <t>B3</t>
  </si>
  <si>
    <t>Sheet: RISKREGISTER | Old: Value_3 | New: Updated_3</t>
  </si>
  <si>
    <t>B4</t>
  </si>
  <si>
    <t>Sheet: RISKREGISTER | Old: Value_4 | New: Updated_4</t>
  </si>
  <si>
    <t>B5</t>
  </si>
  <si>
    <t>Sheet: RISKREGISTER | Old: Value_5 | New: Updated_5</t>
  </si>
  <si>
    <t>AERPA v1.0.0-ENTERPRISE initialized in 0.00ms | User: DEFAULT_USER | Role: OPERATOR | SessionID: 202601101642268D7BF | Workstation: DESKTOP-2F74B0P</t>
  </si>
  <si>
    <t>202601101642268D7BF</t>
  </si>
  <si>
    <t>AERPA v1.0.0-ENTERPRISE initialized in 0.00ms | User: DEFAULT_USER | Role: OPERATOR | SessionID: 202601101654348D7BF | Workstation: DESKTOP-2F74B0P</t>
  </si>
  <si>
    <t>202601101654348D7BF</t>
  </si>
  <si>
    <t>ON HOLD</t>
  </si>
  <si>
    <t>TIMESTAMP</t>
  </si>
  <si>
    <t>BATCH_ID</t>
  </si>
  <si>
    <t>TENANT_ID</t>
  </si>
  <si>
    <t>RISK_SCORE</t>
  </si>
  <si>
    <t>DRIVER1</t>
  </si>
  <si>
    <t>DRIVER2</t>
  </si>
  <si>
    <t>DRIVER3</t>
  </si>
  <si>
    <t>REVIEW_NOTES</t>
  </si>
  <si>
    <t>REVIEWED_BY</t>
  </si>
  <si>
    <t>USER</t>
  </si>
  <si>
    <t>ACTION</t>
  </si>
  <si>
    <t>RECORD_ID</t>
  </si>
  <si>
    <t>DETAILS</t>
  </si>
  <si>
    <t>SEVERITY</t>
  </si>
  <si>
    <t>HASH</t>
  </si>
  <si>
    <t>TENANT</t>
  </si>
  <si>
    <t>EVENT_ID</t>
  </si>
  <si>
    <t>EVT-20260115233820-7055</t>
  </si>
  <si>
    <t>ASUS</t>
  </si>
  <si>
    <t>REFRESH_FAILED</t>
  </si>
  <si>
    <t>Out of stack space</t>
  </si>
  <si>
    <t>ERROR</t>
  </si>
  <si>
    <t>EVT-20260115233825-5334</t>
  </si>
  <si>
    <t>EVT-20260116000848-7055</t>
  </si>
  <si>
    <t>PORTFOLIO HEALTH v8.0</t>
  </si>
  <si>
    <t xml:space="preserve"> CRITICAL | Immediate escalation</t>
  </si>
  <si>
    <t>Formula v8.0: 8-Factor Assessment</t>
  </si>
  <si>
    <t>Weighted: Pass Rate, Risks, Trends, Stability, Entropy</t>
  </si>
  <si>
    <t>Advanced: Gini + Stability + Consistency</t>
  </si>
  <si>
    <t>ML RELIABILITY v8.0</t>
  </si>
  <si>
    <t>F1 Score: 1.00</t>
  </si>
  <si>
    <t>Precision: 100.0% | Recall: 100.0%</t>
  </si>
  <si>
    <t>PORTFOLIO SIGNAL v8.0</t>
  </si>
  <si>
    <t>STABLE</t>
  </si>
  <si>
    <t>6-Component Composite: Risk + Anomaly + Entropy + Trend</t>
  </si>
  <si>
    <t>Advanced: Momentum + Confidence + Entropy</t>
  </si>
  <si>
    <t>ESCALATION RISK v8.0</t>
  </si>
  <si>
    <t xml:space="preserve"> STANDARD MONITORING</t>
  </si>
  <si>
    <t>5-Component Formula: Risk + Anomaly + Hold + Velocity + Regime</t>
  </si>
  <si>
    <t>Includes: Regime Shift Detection</t>
  </si>
  <si>
    <t>Advanced Proactive Escalation Forecast</t>
  </si>
  <si>
    <t>FAILURE PROBABILITY v8.0</t>
  </si>
  <si>
    <t>7-Factor Advanced Model:</t>
  </si>
  <si>
    <t>30% Base | 25% Risk | 18% Anomaly | 12% Escalation | 8% Velocity | 4% Confidence | 3% Entropy</t>
  </si>
  <si>
    <t>Normalized &amp; Bounded [0,1]</t>
  </si>
  <si>
    <t>Enterprise Risk Quantification v8.0</t>
  </si>
  <si>
    <t>RISK MOMENTUM v8.0</t>
  </si>
  <si>
    <t>Advanced: Includes Jerk (3rd derivative)</t>
  </si>
  <si>
    <t>ANOMALY DETECTION v8.0</t>
  </si>
  <si>
    <t xml:space="preserve"> EXCELLENT (?5%)</t>
  </si>
  <si>
    <t>4-Method Ensemble: Z-Score + IQR + Confidence + LOF</t>
  </si>
  <si>
    <t>Threshold: 0.66</t>
  </si>
  <si>
    <t>Advanced: Includes Local Outlier Factor (LOF)</t>
  </si>
  <si>
    <t>DATA QUALITY v8.0</t>
  </si>
  <si>
    <t>5 Components: Anomaly + Confidence + Entropy + Consistency + Trend</t>
  </si>
  <si>
    <t>Advanced Trustworthiness Assessment</t>
  </si>
  <si>
    <t>ML PERFORMANCE v8.0</t>
  </si>
  <si>
    <t>Model Calibration: 100.0%</t>
  </si>
  <si>
    <t>Advanced v8.0 Enterprise ML Engine</t>
  </si>
  <si>
    <t>STATISTICAL ANALYSIS v8.0</t>
  </si>
  <si>
    <t>Entropy: 1.00</t>
  </si>
  <si>
    <t>TOP 3 DRIVERS v8.0</t>
  </si>
  <si>
    <t>Primary Risk Factors</t>
  </si>
  <si>
    <t>EXECUTIVE BRIEF v8.0</t>
  </si>
  <si>
    <t>Signal: STABLE</t>
  </si>
  <si>
    <t>Status: CRITICAL</t>
  </si>
  <si>
    <t>AERPA EXECUTIVE RISK MANAGEMENT DASHBOARD</t>
  </si>
  <si>
    <t>Confidence (0-1.0) *</t>
  </si>
  <si>
    <t>Recommendation</t>
  </si>
  <si>
    <t>SUBMIT</t>
  </si>
  <si>
    <t>TEN-001</t>
  </si>
  <si>
    <t>HIGH</t>
  </si>
  <si>
    <t>Fail</t>
  </si>
  <si>
    <t>WINTER</t>
  </si>
  <si>
    <t>NORMAL</t>
  </si>
  <si>
    <t>TEN-002</t>
  </si>
  <si>
    <t>Yes</t>
  </si>
  <si>
    <t>TEN-003</t>
  </si>
  <si>
    <t>TEN-004</t>
  </si>
  <si>
    <t>TEN-005</t>
  </si>
  <si>
    <t>Observation</t>
  </si>
  <si>
    <t>BATCH-2026-011</t>
  </si>
  <si>
    <t>BATCH-2026-012</t>
  </si>
  <si>
    <t>BATCH-2026-013</t>
  </si>
  <si>
    <t>BATCH-2026-014</t>
  </si>
  <si>
    <t>BATCH-2026-015</t>
  </si>
  <si>
    <t>BATCH-2026-016</t>
  </si>
  <si>
    <t>BATCH-2026-017</t>
  </si>
  <si>
    <t>BATCH-2026-018</t>
  </si>
  <si>
    <t>BATCH-2026-019</t>
  </si>
  <si>
    <t>BATCH-2026-020</t>
  </si>
  <si>
    <t>BATCH-2026-021</t>
  </si>
  <si>
    <t>BATCH-2026-022</t>
  </si>
  <si>
    <t>BATCH-2026-023</t>
  </si>
  <si>
    <t>BATCH-2026-024</t>
  </si>
  <si>
    <t>BATCH-2026-025</t>
  </si>
  <si>
    <t>BATCH-2026-026</t>
  </si>
  <si>
    <t>BATCH-2026-027</t>
  </si>
  <si>
    <t>BATCH-2026-028</t>
  </si>
  <si>
    <t>BATCH-2026-029</t>
  </si>
  <si>
    <t>BATCH-2026-030</t>
  </si>
  <si>
    <t>BATCH-2026-031</t>
  </si>
  <si>
    <t>BATCH-2026-032</t>
  </si>
  <si>
    <t>BATCH-2026-033</t>
  </si>
  <si>
    <t>BATCH-2026-034</t>
  </si>
  <si>
    <t>BATCH-2026-035</t>
  </si>
  <si>
    <t>BATCH-2026-036</t>
  </si>
  <si>
    <t>BATCH-2026-037</t>
  </si>
  <si>
    <t>BATCH-2026-038</t>
  </si>
  <si>
    <t>BATCH-2026-039</t>
  </si>
  <si>
    <t>BATCH-2026-040</t>
  </si>
  <si>
    <t>BATCH-2026-041</t>
  </si>
  <si>
    <t>BATCH-2026-042</t>
  </si>
  <si>
    <t>BATCH-2026-043</t>
  </si>
  <si>
    <t>BATCH-2026-044</t>
  </si>
  <si>
    <t>BATCH-2026-045</t>
  </si>
  <si>
    <t>BATCH-2026-046</t>
  </si>
  <si>
    <t>BATCH-2026-047</t>
  </si>
  <si>
    <t>BATCH-2026-048</t>
  </si>
  <si>
    <t>BATCH-2026-049</t>
  </si>
  <si>
    <t>BATCH-2026-050</t>
  </si>
  <si>
    <t>COMPLETED</t>
  </si>
  <si>
    <t>OP-002</t>
  </si>
  <si>
    <t>PENDING_REVIEW</t>
  </si>
  <si>
    <t>OP-003</t>
  </si>
  <si>
    <t>OP-004</t>
  </si>
  <si>
    <t>OP-005</t>
  </si>
  <si>
    <t>OP-006</t>
  </si>
  <si>
    <t>OP-007</t>
  </si>
  <si>
    <t>OP-008</t>
  </si>
  <si>
    <t>OP-009</t>
  </si>
  <si>
    <t>OP-010</t>
  </si>
  <si>
    <t>OP-011</t>
  </si>
  <si>
    <t>OP-012</t>
  </si>
  <si>
    <t>Pending</t>
  </si>
  <si>
    <t>OP-013</t>
  </si>
  <si>
    <t>OP-014</t>
  </si>
  <si>
    <t>OP-015</t>
  </si>
  <si>
    <t>FAILED</t>
  </si>
  <si>
    <t>IN_PROGRESS</t>
  </si>
  <si>
    <t>OPERATIONAL</t>
  </si>
  <si>
    <t>Mixer Unit</t>
  </si>
  <si>
    <t>Backup Mixer</t>
  </si>
  <si>
    <t>WARNING - HIGH FAILURE RATE</t>
  </si>
  <si>
    <t>Review failure history</t>
  </si>
  <si>
    <t>Dryer Unit</t>
  </si>
  <si>
    <t>Centrifuge Unit</t>
  </si>
  <si>
    <t>Granulator Unit</t>
  </si>
  <si>
    <t>Tenant 1</t>
  </si>
  <si>
    <t>Plant-1-A</t>
  </si>
  <si>
    <t>Plant-1-B</t>
  </si>
  <si>
    <t>Warehouse-1</t>
  </si>
  <si>
    <t>qa-TEN-001@examplepharma.com; ops-TEN-001@examplepharma.com</t>
  </si>
  <si>
    <t>#alerts-tenant-1, #quality-hub</t>
  </si>
  <si>
    <t>support@examplepharma.com</t>
  </si>
  <si>
    <t>Tenant 2</t>
  </si>
  <si>
    <t>Plant-2-A</t>
  </si>
  <si>
    <t>Plant-2-B</t>
  </si>
  <si>
    <t>Warehouse-2</t>
  </si>
  <si>
    <t>qa-TEN-002@examplepharma.com; ops-TEN-002@examplepharma.com</t>
  </si>
  <si>
    <t>#alerts-tenant-2, #quality-hub</t>
  </si>
  <si>
    <t>Tenant 3</t>
  </si>
  <si>
    <t>Plant-3-A</t>
  </si>
  <si>
    <t>Plant-3-B</t>
  </si>
  <si>
    <t>Warehouse-3</t>
  </si>
  <si>
    <t>qa-TEN-003@examplepharma.com; ops-TEN-003@examplepharma.com</t>
  </si>
  <si>
    <t>#alerts-tenant-3, #quality-hub</t>
  </si>
  <si>
    <t>Tenant 4</t>
  </si>
  <si>
    <t>Plant-4-A</t>
  </si>
  <si>
    <t>Plant-4-B</t>
  </si>
  <si>
    <t>Warehouse-4</t>
  </si>
  <si>
    <t>qa-TEN-004@examplepharma.com; ops-TEN-004@examplepharma.com</t>
  </si>
  <si>
    <t>#alerts-tenant-4, #quality-hub</t>
  </si>
  <si>
    <t>Tenant 5</t>
  </si>
  <si>
    <t>Plant-5-A</t>
  </si>
  <si>
    <t>Plant-5-B</t>
  </si>
  <si>
    <t>Warehouse-5</t>
  </si>
  <si>
    <t>qa-TEN-005@examplepharma.com; ops-TEN-005@examplepharma.com</t>
  </si>
  <si>
    <t>#alerts-tenant-5, #quality-hub</t>
  </si>
  <si>
    <t>TEN-006</t>
  </si>
  <si>
    <t>Tenant 6</t>
  </si>
  <si>
    <t>Plant-6-A</t>
  </si>
  <si>
    <t>Plant-6-B</t>
  </si>
  <si>
    <t>Warehouse-6</t>
  </si>
  <si>
    <t>qa-TEN-006@examplepharma.com; ops-TEN-006@examplepharma.com</t>
  </si>
  <si>
    <t>#alerts-tenant-6, #quality-hub</t>
  </si>
  <si>
    <t>TEN-007</t>
  </si>
  <si>
    <t>Tenant 7</t>
  </si>
  <si>
    <t>Plant-7-A</t>
  </si>
  <si>
    <t>Plant-7-B</t>
  </si>
  <si>
    <t>Warehouse-7</t>
  </si>
  <si>
    <t>qa-TEN-007@examplepharma.com; ops-TEN-007@examplepharma.com</t>
  </si>
  <si>
    <t>#alerts-tenant-7, #quality-hub</t>
  </si>
  <si>
    <t>TEN-008</t>
  </si>
  <si>
    <t>Tenant 8</t>
  </si>
  <si>
    <t>Plant-8-A</t>
  </si>
  <si>
    <t>Plant-8-B</t>
  </si>
  <si>
    <t>Warehouse-8</t>
  </si>
  <si>
    <t>qa-TEN-008@examplepharma.com; ops-TEN-008@examplepharma.com</t>
  </si>
  <si>
    <t>#alerts-tenant-8, #quality-hub</t>
  </si>
  <si>
    <t>TEN-009</t>
  </si>
  <si>
    <t>Tenant 9</t>
  </si>
  <si>
    <t>Plant-9-A</t>
  </si>
  <si>
    <t>Plant-9-B</t>
  </si>
  <si>
    <t>Warehouse-9</t>
  </si>
  <si>
    <t>qa-TEN-009@examplepharma.com; ops-TEN-009@examplepharma.com</t>
  </si>
  <si>
    <t>#alerts-tenant-9, #quality-hub</t>
  </si>
  <si>
    <t>TEN-010</t>
  </si>
  <si>
    <t>Tenant 10</t>
  </si>
  <si>
    <t>Plant-10-A</t>
  </si>
  <si>
    <t>Plant-10-B</t>
  </si>
  <si>
    <t>Warehouse-10</t>
  </si>
  <si>
    <t>qa-TEN-010@examplepharma.com; ops-TEN-010@examplepharma.com</t>
  </si>
  <si>
    <t>#alerts-tenant-10, #quality-hub</t>
  </si>
  <si>
    <t>TEN-011</t>
  </si>
  <si>
    <t>Tenant 11</t>
  </si>
  <si>
    <t>Plant-11-A</t>
  </si>
  <si>
    <t>Plant-11-B</t>
  </si>
  <si>
    <t>Warehouse-11</t>
  </si>
  <si>
    <t>qa-TEN-011@examplepharma.com; ops-TEN-011@examplepharma.com</t>
  </si>
  <si>
    <t>#alerts-tenant-11, #quality-hub</t>
  </si>
  <si>
    <t>TEN-012</t>
  </si>
  <si>
    <t>Tenant 12</t>
  </si>
  <si>
    <t>Plant-12-A</t>
  </si>
  <si>
    <t>Plant-12-B</t>
  </si>
  <si>
    <t>Warehouse-12</t>
  </si>
  <si>
    <t>qa-TEN-012@examplepharma.com; ops-TEN-012@examplepharma.com</t>
  </si>
  <si>
    <t>#alerts-tenant-12, #quality-hub</t>
  </si>
  <si>
    <t>TEN-013</t>
  </si>
  <si>
    <t>Tenant 13</t>
  </si>
  <si>
    <t>Plant-13-A</t>
  </si>
  <si>
    <t>Plant-13-B</t>
  </si>
  <si>
    <t>Warehouse-13</t>
  </si>
  <si>
    <t>qa-TEN-013@examplepharma.com; ops-TEN-013@examplepharma.com</t>
  </si>
  <si>
    <t>#alerts-tenant-13, #quality-hub</t>
  </si>
  <si>
    <t>TEN-014</t>
  </si>
  <si>
    <t>Tenant 14</t>
  </si>
  <si>
    <t>Plant-14-A</t>
  </si>
  <si>
    <t>Plant-14-B</t>
  </si>
  <si>
    <t>Warehouse-14</t>
  </si>
  <si>
    <t>qa-TEN-014@examplepharma.com; ops-TEN-014@examplepharma.com</t>
  </si>
  <si>
    <t>#alerts-tenant-14, #quality-hub</t>
  </si>
  <si>
    <t>TEN-015</t>
  </si>
  <si>
    <t>Tenant 15</t>
  </si>
  <si>
    <t>Plant-15-A</t>
  </si>
  <si>
    <t>Plant-15-B</t>
  </si>
  <si>
    <t>Warehouse-15</t>
  </si>
  <si>
    <t>qa-TEN-015@examplepharma.com; ops-TEN-015@examplepharma.com</t>
  </si>
  <si>
    <t>#alerts-tenant-15, #quality-hub</t>
  </si>
  <si>
    <t>TEN-016</t>
  </si>
  <si>
    <t>Tenant 16</t>
  </si>
  <si>
    <t>Plant-16-A</t>
  </si>
  <si>
    <t>Plant-16-B</t>
  </si>
  <si>
    <t>Warehouse-16</t>
  </si>
  <si>
    <t>qa-TEN-016@examplepharma.com; ops-TEN-016@examplepharma.com</t>
  </si>
  <si>
    <t>#alerts-tenant-16, #quality-hub</t>
  </si>
  <si>
    <t>TEN-017</t>
  </si>
  <si>
    <t>Tenant 17</t>
  </si>
  <si>
    <t>Plant-17-A</t>
  </si>
  <si>
    <t>Plant-17-B</t>
  </si>
  <si>
    <t>Warehouse-17</t>
  </si>
  <si>
    <t>qa-TEN-017@examplepharma.com; ops-TEN-017@examplepharma.com</t>
  </si>
  <si>
    <t>#alerts-tenant-17, #quality-hub</t>
  </si>
  <si>
    <t>TEN-018</t>
  </si>
  <si>
    <t>Tenant 18</t>
  </si>
  <si>
    <t>Plant-18-A</t>
  </si>
  <si>
    <t>Plant-18-B</t>
  </si>
  <si>
    <t>Warehouse-18</t>
  </si>
  <si>
    <t>qa-TEN-018@examplepharma.com; ops-TEN-018@examplepharma.com</t>
  </si>
  <si>
    <t>#alerts-tenant-18, #quality-hub</t>
  </si>
  <si>
    <t>TEN-019</t>
  </si>
  <si>
    <t>Tenant 19</t>
  </si>
  <si>
    <t>Plant-19-A</t>
  </si>
  <si>
    <t>Plant-19-B</t>
  </si>
  <si>
    <t>Warehouse-19</t>
  </si>
  <si>
    <t>qa-TEN-019@examplepharma.com; ops-TEN-019@examplepharma.com</t>
  </si>
  <si>
    <t>#alerts-tenant-19, #quality-hub</t>
  </si>
  <si>
    <t>TEN-020</t>
  </si>
  <si>
    <t>Tenant 20</t>
  </si>
  <si>
    <t>Plant-20-A</t>
  </si>
  <si>
    <t>Plant-20-B</t>
  </si>
  <si>
    <t>Warehouse-20</t>
  </si>
  <si>
    <t>qa-TEN-020@examplepharma.com; ops-TEN-020@examplepharma.com</t>
  </si>
  <si>
    <t>#alerts-tenant-20, #quality-hub</t>
  </si>
  <si>
    <t>Supplier_Quality=0.82 (19.5%)</t>
  </si>
  <si>
    <t>Supplier_Quality=0.88 (19.5%)</t>
  </si>
  <si>
    <t>Supplier_Quality=0.90 (18.4%)</t>
  </si>
  <si>
    <t>Supplier_Quality=0.67 (32.7%)</t>
  </si>
  <si>
    <t>Supplier_Quality=0.70 (27.3%)</t>
  </si>
  <si>
    <t>Supplier_Quality=0.71 (31.4%)</t>
  </si>
  <si>
    <t>Supplier_Quality=0.71 (24.2%)</t>
  </si>
  <si>
    <t>Supplier_Quality=0.69 (22.3%)</t>
  </si>
  <si>
    <t>Operator_Quality=0.76 (24.0%)</t>
  </si>
  <si>
    <t>Supplier_Quality=0.92 (14.6%)</t>
  </si>
  <si>
    <t>Supplier_Quality=0.88 (9.3%)</t>
  </si>
  <si>
    <t>Supplier_Quality=0.76 (28.5%)</t>
  </si>
  <si>
    <t>Operator_Quality=0.79 (21.0%)</t>
  </si>
  <si>
    <t>Supplier_Quality=0.71 (32.0%)</t>
  </si>
  <si>
    <t>Supplier_Quality=0.86 (14.9%)</t>
  </si>
  <si>
    <t>Operator_Quality=0.82 (18.0%)</t>
  </si>
  <si>
    <t>Supplier_Quality=0.81 (22.9%)</t>
  </si>
  <si>
    <t>Supplier_Quality=0.82 (18.9%)</t>
  </si>
  <si>
    <t>Supplier_Quality=0.71 (22.4%)</t>
  </si>
  <si>
    <t>User</t>
  </si>
  <si>
    <t>Action</t>
  </si>
  <si>
    <t>RecordCount</t>
  </si>
  <si>
    <t>Field_Changed</t>
  </si>
  <si>
    <t>Change_Details</t>
  </si>
  <si>
    <t>RISK_REGISTER_GENERATED</t>
  </si>
  <si>
    <t>ALL_COLUMNS</t>
  </si>
  <si>
    <t>v10.0: Fixed risk scoring algorithm with proper normalization</t>
  </si>
  <si>
    <t>Equipment_Age=4562hrs (71.4%)</t>
  </si>
  <si>
    <t>SCHEDULE REVIEW: Risk 45.5. Confidence 0.68. QA approval required.</t>
  </si>
  <si>
    <t>Equipment_Age=2069hrs (30.5%)</t>
  </si>
  <si>
    <t>SCHEDULE REVIEW: Risk 34.9. Confidence 0.60. QA approval required.</t>
  </si>
  <si>
    <t>Equipment_Age=3803hrs (54.7%)</t>
  </si>
  <si>
    <t>Equipment_Age=2863hrs (41.6%)</t>
  </si>
  <si>
    <t>SCHEDULE REVIEW: Risk 25.1. Confidence 0.62. QA approval required.</t>
  </si>
  <si>
    <t>Equipment_Age=4971hrs (71.1%)</t>
  </si>
  <si>
    <t>SCHEDULE REVIEW: Risk 31.2. Confidence 0.53. QA approval required.</t>
  </si>
  <si>
    <t>Equipment_Age=3347hrs (48.4%)</t>
  </si>
  <si>
    <t>SCHEDULE REVIEW: Risk 44.6. Confidence 0.55. QA approval required.</t>
  </si>
  <si>
    <t>Equipment_Age=2689hrs (39.1%)</t>
  </si>
  <si>
    <t>SCHEDULE REVIEW: Risk 32.1. Confidence 0.84. QA approval required.</t>
  </si>
  <si>
    <t>Equipment_Age=2942hrs (48.7%)</t>
  </si>
  <si>
    <t>Equipment_Age=1857hrs (27.5%)</t>
  </si>
  <si>
    <t>Equipment_Age=2246hrs (38.9%)</t>
  </si>
  <si>
    <t>SCHEDULE REVIEW: Risk 26.1. Confidence 0.59. QA approval required.</t>
  </si>
  <si>
    <t>SCHEDULE REVIEW: Risk 33.3. Confidence 0.63. QA approval required.</t>
  </si>
  <si>
    <t>Equipment_Age=3054hrs (44.3%)</t>
  </si>
  <si>
    <t>SCHEDULE REVIEW: Risk 29.9. Confidence 0.65. QA approval required.</t>
  </si>
  <si>
    <t>Equipment_Age=3750hrs (54.0%)</t>
  </si>
  <si>
    <t>SCHEDULE REVIEW: Risk 44.2. Confidence 0.52. QA approval required.</t>
  </si>
  <si>
    <t>Equipment_Age=4831hrs (75.1%)</t>
  </si>
  <si>
    <t>SCHEDULE REVIEW: Risk 29.1. Confidence 0.56. QA approval required.</t>
  </si>
  <si>
    <t>Equipment_Age=3575hrs (51.6%)</t>
  </si>
  <si>
    <t>SCHEDULE REVIEW: Risk 48.6. Confidence 0.49. QA approval required.</t>
  </si>
  <si>
    <t>Equipment_Age=2006hrs (29.6%)</t>
  </si>
  <si>
    <t>Equipment_Age=4184hrs (60.1%)</t>
  </si>
  <si>
    <t>SCHEDULE REVIEW: Risk 42.6. Confidence 0.49. QA approval required.</t>
  </si>
  <si>
    <t>Equipment_Age=2540hrs (37.1%)</t>
  </si>
  <si>
    <t>SCHEDULE REVIEW: Risk 32.8. Confidence 0.71. QA approval required.</t>
  </si>
  <si>
    <t>Equipment_Age=1859hrs (27.5%)</t>
  </si>
  <si>
    <t>Equipment_Age=3823hrs (55.0%)</t>
  </si>
  <si>
    <t>SCHEDULE REVIEW: Risk 30.8. Confidence 0.77. QA approval required.</t>
  </si>
  <si>
    <t>SCHEDULE REVIEW: Risk 34.9. Confidence 0.66. QA approval required.</t>
  </si>
  <si>
    <t>Equipment_Age=4512hrs (70.7%)</t>
  </si>
  <si>
    <t>SCHEDULE REVIEW: Risk 36.5. Confidence 0.48. QA approval required.</t>
  </si>
  <si>
    <t>Equipment_Age=1649hrs (30.6%)</t>
  </si>
  <si>
    <t>SCHEDULE REVIEW: Risk 40.1. Confidence 0.73. QA approval required.</t>
  </si>
  <si>
    <t>Equipment_Age=4584hrs (65.7%)</t>
  </si>
  <si>
    <t>SCHEDULE REVIEW: Risk 36.1. Confidence 0.54. QA approval required.</t>
  </si>
  <si>
    <t>Equipment_Age=4842hrs (69.3%)</t>
  </si>
  <si>
    <t>SCHEDULE REVIEW: Risk 29.9. Confidence 0.57. QA approval required.</t>
  </si>
  <si>
    <t>Equipment_Age=3068hrs (44.5%)</t>
  </si>
  <si>
    <t>SCHEDULE REVIEW: Risk 36.2. Confidence 0.55. QA approval required.</t>
  </si>
  <si>
    <t>Equipment_Age=1147hrs (17.6%)</t>
  </si>
  <si>
    <t>SCHEDULE REVIEW: Risk 31.9. Confidence 0.68. QA approval required.</t>
  </si>
  <si>
    <t>Equipment_Age=4617hrs (66.1%)</t>
  </si>
  <si>
    <t>Equipment_Age=2986hrs (43.3%)</t>
  </si>
  <si>
    <t>Equipment_Age=2857hrs (41.5%)</t>
  </si>
  <si>
    <t>SCHEDULE REVIEW: Risk 28.1. Confidence 0.85. QA approval required.</t>
  </si>
  <si>
    <t>Equipment_Age=4345hrs (68.3%)</t>
  </si>
  <si>
    <t>SCHEDULE REVIEW: Risk 38.3. Confidence 0.73. QA approval required.</t>
  </si>
  <si>
    <t>Equipment_Age=3360hrs (54.5%)</t>
  </si>
  <si>
    <t>Equipment_Age=1952hrs (34.8%)</t>
  </si>
  <si>
    <t>Equipment_Age=4365hrs (62.6%)</t>
  </si>
  <si>
    <t>SCHEDULE REVIEW: Risk 33.2. Confidence 0.51. QA approval required.</t>
  </si>
  <si>
    <t>Equipment_Age=4842hrs (75.3%)</t>
  </si>
  <si>
    <t>SCHEDULE REVIEW: Risk 36.4. Confidence 0.52. QA approval required.</t>
  </si>
  <si>
    <t>Equipment_Age=2219hrs (38.6%)</t>
  </si>
  <si>
    <t>Equipment_Age=1885hrs (27.9%)</t>
  </si>
  <si>
    <t>Equipment_Age=3493hrs (50.4%)</t>
  </si>
  <si>
    <t>SCHEDULE REVIEW: Risk 26.7. Confidence 0.58. QA approval required.</t>
  </si>
  <si>
    <t>Equipment_Age=3290hrs (47.6%)</t>
  </si>
  <si>
    <t>SCHEDULE REVIEW: Risk 37.6. Confidence 0.56. QA approval required.</t>
  </si>
  <si>
    <t>Equipment_Age=4068hrs (58.5%)</t>
  </si>
  <si>
    <t>SCHEDULE REVIEW: Risk 47.1. Confidence 0.56. QA approval required.</t>
  </si>
  <si>
    <t>Equipment_Age=4489hrs (64.3%)</t>
  </si>
  <si>
    <t>SCHEDULE REVIEW: Risk 40.3. Confidence 0.51. QA approval required.</t>
  </si>
  <si>
    <t>Equipment_Age=3763hrs (54.2%)</t>
  </si>
  <si>
    <t>SCHEDULE REVIEW: Risk 30.1. Confidence 0.77. QA approval required.</t>
  </si>
  <si>
    <t>Equipment_Age=2129hrs (31.3%)</t>
  </si>
  <si>
    <t>Equipment_Age=2771hrs (40.3%)</t>
  </si>
  <si>
    <t>SCHEDULE REVIEW: Risk 30.4. Confidence 0.65. QA approval required.</t>
  </si>
  <si>
    <t>Equipment_Age=1386hrs (20.9%)</t>
  </si>
  <si>
    <t>SCHEDULE REVIEW: Risk 24.4. Confidence 0.83. QA approval required.</t>
  </si>
  <si>
    <t>Equipment_Age=4341hrs (68.3%)</t>
  </si>
  <si>
    <t>Equipment_Age=4472hrs (64.1%)</t>
  </si>
  <si>
    <t>SCHEDULE REVIEW: Risk 47.2. Confidence 0.54. QA approval required.</t>
  </si>
  <si>
    <t>Equipment_Age=3730hrs (53.7%)</t>
  </si>
  <si>
    <t>SCHEDULE REVIEW: Risk 31.0. Confidence 0.74. QA approval required.</t>
  </si>
  <si>
    <t>v10.0 Final: Fixed risk scoring + data validation</t>
  </si>
  <si>
    <t>v10.0 Final: Updated column order - Timestamp first, Supplier_ID_Encoded last</t>
  </si>
  <si>
    <t>EQUIPMENT_ID</t>
  </si>
  <si>
    <t>SUPPLIER_ID_ENCODED</t>
  </si>
  <si>
    <t xml:space="preserve"> MODERATE TRUST</t>
  </si>
  <si>
    <t>Quality Assessment: GOOD</t>
  </si>
  <si>
    <t>Trend: DECREASING</t>
  </si>
  <si>
    <t xml:space="preserve"> NEEDS ATTENTION (&lt;75%)</t>
  </si>
  <si>
    <t>Gini Coefficient: 0.067</t>
  </si>
  <si>
    <t>Acc: 99.6% | Rob: 91.9%</t>
  </si>
  <si>
    <t>Convergence Quality: 96.7%</t>
  </si>
  <si>
    <t>Mean: 32.5</t>
  </si>
  <si>
    <t>StdDev: 7.8</t>
  </si>
  <si>
    <t>Skewness: 0.01</t>
  </si>
  <si>
    <t>Kurtosis: -0.17</t>
  </si>
  <si>
    <t>Gini Coeff: 0.067</t>
  </si>
  <si>
    <t>Risk: 22.7%</t>
  </si>
  <si>
    <t>ML Trust: 78.9%</t>
  </si>
  <si>
    <t>External_Market=0.73 (73.0%)</t>
  </si>
  <si>
    <t>Environmental_Risk=0.37 (36.5%)</t>
  </si>
  <si>
    <t>External_Market=0.56 (56.0%)</t>
  </si>
  <si>
    <t>Environmental_Risk=0.53 (53.0%)</t>
  </si>
  <si>
    <t>External_Market=0.79 (79.0%)</t>
  </si>
  <si>
    <t>Environmental_Risk=0.40 (39.5%)</t>
  </si>
  <si>
    <t>APPROVED: Risk acceptable (40.3). Proceed with batch processing.</t>
  </si>
  <si>
    <t>Environmental_Risk=0.34 (33.5%)</t>
  </si>
  <si>
    <t>External_Market=0.17 (17.0%)</t>
  </si>
  <si>
    <t>Environmental_Risk=0.32 (32.0%)</t>
  </si>
  <si>
    <t>External_Market=0.72 (72.0%)</t>
  </si>
  <si>
    <t>Environmental_Risk=0.61 (61.0%)</t>
  </si>
  <si>
    <t>External_Market=0.60 (60.0%)</t>
  </si>
  <si>
    <t>Environmental_Risk=0.30 (30.0%)</t>
  </si>
  <si>
    <t>External_Market=0.31 (31.0%)</t>
  </si>
  <si>
    <t>APPROVED: Risk acceptable (26.4). Proceed with batch processing.</t>
  </si>
  <si>
    <t>External_Market=0.13 (13.0%)</t>
  </si>
  <si>
    <t>APPROVED: Risk acceptable (16.0). Proceed with batch processing.</t>
  </si>
  <si>
    <t>Environmental_Risk=0.33 (32.5%)</t>
  </si>
  <si>
    <t>External_Market=0.58 (58.0%)</t>
  </si>
  <si>
    <t>Environmental_Risk=0.54 (54.0%)</t>
  </si>
  <si>
    <t>Environmental_Risk=0.44 (43.5%)</t>
  </si>
  <si>
    <t>External_Market=0.37 (37.0%)</t>
  </si>
  <si>
    <t>External_Market=0.63 (63.0%)</t>
  </si>
  <si>
    <t>Environmental_Risk=0.57 (56.5%)</t>
  </si>
  <si>
    <t>Environmental_Risk=0.31 (30.5%)</t>
  </si>
  <si>
    <t>External_Market=0.11 (11.0%)</t>
  </si>
  <si>
    <t>External_Market=0.75 (75.0%)</t>
  </si>
  <si>
    <t>Environmental_Risk=0.63 (62.5%)</t>
  </si>
  <si>
    <t>External_Market=0.55 (55.0%)</t>
  </si>
  <si>
    <t>Environmental_Risk=0.28 (27.5%)</t>
  </si>
  <si>
    <t>APPROVED: Risk acceptable (30.1). Proceed with batch processing.</t>
  </si>
  <si>
    <t>External_Market=0.51 (51.0%)</t>
  </si>
  <si>
    <t>Environmental_Risk=0.51 (50.5%)</t>
  </si>
  <si>
    <t>External_Market=0.45 (45.0%)</t>
  </si>
  <si>
    <t>External_Market=0.32 (32.0%)</t>
  </si>
  <si>
    <t>APPROVED: Risk acceptable (22.7). Proceed with batch processing.</t>
  </si>
  <si>
    <t>External_Market=0.41 (41.0%)</t>
  </si>
  <si>
    <t>Environmental_Risk=0.21 (20.5%)</t>
  </si>
  <si>
    <t>External_Market=0.76 (76.0%)</t>
  </si>
  <si>
    <t>Environmental_Risk=0.63 (63.0%)</t>
  </si>
  <si>
    <t>Environmental_Risk=0.36 (36.0%)</t>
  </si>
  <si>
    <t>Environmental_Risk=0.38 (38.0%)</t>
  </si>
  <si>
    <t>Environmental_Risk=0.49 (48.5%)</t>
  </si>
  <si>
    <t>External_Market=0.47 (47.0%)</t>
  </si>
  <si>
    <t>External_Market=0.62 (62.0%)</t>
  </si>
  <si>
    <t>Environmental_Risk=0.56 (56.0%)</t>
  </si>
  <si>
    <t>External_Market=0.15 (15.0%)</t>
  </si>
  <si>
    <t>APPROVED: Risk acceptable (23.8). Proceed with batch processing.</t>
  </si>
  <si>
    <t>External_Market=0.20 (20.0%)</t>
  </si>
  <si>
    <t>APPROVED: Risk acceptable (23.4). Proceed with batch processing.</t>
  </si>
  <si>
    <t>External_Market=0.52 (52.0%)</t>
  </si>
  <si>
    <t>Environmental_Risk=0.26 (26.0%)</t>
  </si>
  <si>
    <t>External_Market=0.50 (50.0%)</t>
  </si>
  <si>
    <t>Environmental_Risk=0.25 (25.0%)</t>
  </si>
  <si>
    <t>Environmental_Risk=0.29 (29.0%)</t>
  </si>
  <si>
    <t>APPROVED: Risk acceptable (28.9). Proceed with batch processing.</t>
  </si>
  <si>
    <t>Environmental_Risk=0.23 (22.5%)</t>
  </si>
  <si>
    <t>APPROVED: Risk acceptable (29.4). Proceed with batch processing.</t>
  </si>
  <si>
    <t>External_Market=0.61 (61.0%)</t>
  </si>
  <si>
    <t>APPROVED: Risk acceptable (34.1). Proceed with batch processing.</t>
  </si>
  <si>
    <t>Environmental_Risk=0.35 (35.0%)</t>
  </si>
  <si>
    <t>Environmental_Risk=0.40 (40.0%)</t>
  </si>
  <si>
    <t>External_Market=0.30 (30.0%)</t>
  </si>
  <si>
    <t>APPROVED: Risk acceptable (32.1). Proceed with batch processing.</t>
  </si>
  <si>
    <t>External_Market=0.26 (26.0%)</t>
  </si>
  <si>
    <t>Environmental_Risk=0.13 (13.0%)</t>
  </si>
  <si>
    <t>APPROVED: Risk acceptable (14.6). Proceed with batch processing.</t>
  </si>
  <si>
    <t>External_Market=0.57 (57.0%)</t>
  </si>
  <si>
    <t>Environmental_Risk=0.29 (28.5%)</t>
  </si>
  <si>
    <t>APPROVED: Risk acceptable (28.0). Proceed with batch processing.</t>
  </si>
  <si>
    <t>External_Market=0.54 (54.0%)</t>
  </si>
  <si>
    <t>Environmental_Risk=0.52 (52.0%)</t>
  </si>
  <si>
    <t>External_Market=0.78 (78.0%)</t>
  </si>
  <si>
    <t>Environmental_Risk=0.64 (64.0%)</t>
  </si>
  <si>
    <t>Environmental_Risk=0.49 (49.0%)</t>
  </si>
  <si>
    <t>External_Market=0.48 (48.0%)</t>
  </si>
  <si>
    <t>External_Market=0.38 (38.0%)</t>
  </si>
  <si>
    <t>APPROVED: Risk acceptable (16.1). Proceed with batch processing.</t>
  </si>
  <si>
    <t>Environmental_Risk=0.45 (45.0%)</t>
  </si>
  <si>
    <t>External_Market=0.40 (40.0%)</t>
  </si>
  <si>
    <t>External_Market=0.46 (46.0%)</t>
  </si>
  <si>
    <t>Environmental_Risk=0.23 (23.0%)</t>
  </si>
  <si>
    <t>Environmental_Risk=0.16 (16.0%)</t>
  </si>
  <si>
    <t>APPROVED: Risk acceptable (30.6). Proceed with batch processing.</t>
  </si>
  <si>
    <t>External_Market=0.69 (69.0%)</t>
  </si>
  <si>
    <t>Environmental_Risk=0.60 (59.5%)</t>
  </si>
  <si>
    <t>External_Market=0.42 (42.0%)</t>
  </si>
  <si>
    <t>v10.1 FINAL SCHEMA: 14 columns (A-N). Drivers sorted by %. Equipment_ID &amp; Supplier_ID_Encoded included.</t>
  </si>
  <si>
    <t>EQP-0001</t>
  </si>
  <si>
    <t>EQP-0002</t>
  </si>
  <si>
    <t>EQP-0003</t>
  </si>
  <si>
    <t>EQP-0004</t>
  </si>
  <si>
    <t>EQP-0005</t>
  </si>
  <si>
    <t>EQP-0006</t>
  </si>
  <si>
    <t>EQP-0007</t>
  </si>
  <si>
    <t>EQP-0008</t>
  </si>
  <si>
    <t>EQP-0009</t>
  </si>
  <si>
    <t>EQP-0010</t>
  </si>
  <si>
    <t>EQP-0011</t>
  </si>
  <si>
    <t>EQP-0012</t>
  </si>
  <si>
    <t>EQP-0013</t>
  </si>
  <si>
    <t>SUP-013</t>
  </si>
  <si>
    <t>EQP-0014</t>
  </si>
  <si>
    <t>SUP-014</t>
  </si>
  <si>
    <t>EQP-0015</t>
  </si>
  <si>
    <t>SUP-015</t>
  </si>
  <si>
    <t>EQP-0016</t>
  </si>
  <si>
    <t>EQP-0017</t>
  </si>
  <si>
    <t>EQP-0018</t>
  </si>
  <si>
    <t>EQP-0019</t>
  </si>
  <si>
    <t>EQP-0020</t>
  </si>
  <si>
    <t>EQP-0021</t>
  </si>
  <si>
    <t>EQP-0022</t>
  </si>
  <si>
    <t>EQP-0023</t>
  </si>
  <si>
    <t>EQP-0024</t>
  </si>
  <si>
    <t>EQP-0025</t>
  </si>
  <si>
    <t>EQP-0026</t>
  </si>
  <si>
    <t>EQP-0027</t>
  </si>
  <si>
    <t>EQP-0028</t>
  </si>
  <si>
    <t>EQP-0029</t>
  </si>
  <si>
    <t>EQP-0030</t>
  </si>
  <si>
    <t>EQP-0031</t>
  </si>
  <si>
    <t>EQP-0032</t>
  </si>
  <si>
    <t>EQP-0033</t>
  </si>
  <si>
    <t>EQP-0034</t>
  </si>
  <si>
    <t>EQP-0035</t>
  </si>
  <si>
    <t>EQP-0036</t>
  </si>
  <si>
    <t>EQP-0037</t>
  </si>
  <si>
    <t>EQP-0038</t>
  </si>
  <si>
    <t>EQP-0039</t>
  </si>
  <si>
    <t>EQP-0040</t>
  </si>
  <si>
    <t>EQP-0041</t>
  </si>
  <si>
    <t>EQP-0042</t>
  </si>
  <si>
    <t>EQP-0043</t>
  </si>
  <si>
    <t>EQP-0044</t>
  </si>
  <si>
    <t>EQP-0045</t>
  </si>
  <si>
    <t>EQP-0046</t>
  </si>
  <si>
    <t>EQP-0047</t>
  </si>
  <si>
    <t>EQP-0048</t>
  </si>
  <si>
    <t>EQP-0049</t>
  </si>
  <si>
    <t>EQP-0050</t>
  </si>
  <si>
    <t>v10.2 FIXED: Equipment_ID (EQP-xxxx) &amp; Supplier_ID (SUP-xxx) properly generated. No more timestamp data!</t>
  </si>
  <si>
    <t>RISK REGISTER DATA ENTRY FORM v10.2</t>
  </si>
  <si>
    <t>Batch_ID *</t>
  </si>
  <si>
    <t>Risk_Score (0-100) *</t>
  </si>
  <si>
    <t>Driver1</t>
  </si>
  <si>
    <t>Driver2</t>
  </si>
  <si>
    <t>Driver3</t>
  </si>
  <si>
    <t>Status (PASS/REVIEW/HOLD)</t>
  </si>
  <si>
    <t>Review_Notes</t>
  </si>
  <si>
    <t>Equipment_ID (EQP-xxxx)</t>
  </si>
  <si>
    <t>Supplier_ID_Encoded (SUP-xxx)</t>
  </si>
  <si>
    <t>EHS_Score</t>
  </si>
  <si>
    <t>OEE_%</t>
  </si>
  <si>
    <t>MTBF_Hours</t>
  </si>
  <si>
    <t>MTTR_Hours</t>
  </si>
  <si>
    <t>RUL_Days</t>
  </si>
  <si>
    <t>Failure_Prob_%</t>
  </si>
  <si>
    <t>Health_Category</t>
  </si>
  <si>
    <t>Risk_Color</t>
  </si>
  <si>
    <t>Calibration_Status</t>
  </si>
  <si>
    <t>Current_Status</t>
  </si>
  <si>
    <t>Last_Updated</t>
  </si>
  <si>
    <t>Excellent</t>
  </si>
  <si>
    <t>Green</t>
  </si>
  <si>
    <t>OK</t>
  </si>
  <si>
    <t>EQUIPMENT STATUS DASHBOARD - REAL-TIME KPI CARDS</t>
  </si>
  <si>
    <t>Generated: 17-Jan-2026 14:13:42 | Fleet Size: 7 units</t>
  </si>
  <si>
    <t>Average EHS</t>
  </si>
  <si>
    <t>Target: &gt;75</t>
  </si>
  <si>
    <t>Fleet OEE</t>
  </si>
  <si>
    <t>Target: &gt;85%</t>
  </si>
  <si>
    <t>Avg MTBF</t>
  </si>
  <si>
    <t>1950 hrs</t>
  </si>
  <si>
    <t>Target: &gt;2000h</t>
  </si>
  <si>
    <t>Avg RUL</t>
  </si>
  <si>
    <t>500 days</t>
  </si>
  <si>
    <t>Predictive window</t>
  </si>
  <si>
    <t>Operational</t>
  </si>
  <si>
    <t>5 units</t>
  </si>
  <si>
    <t>71% of fleet</t>
  </si>
  <si>
    <t>Warning</t>
  </si>
  <si>
    <t>2 units</t>
  </si>
  <si>
    <t>High failure rate</t>
  </si>
  <si>
    <t>Critical</t>
  </si>
  <si>
    <t>0 units</t>
  </si>
  <si>
    <t>EHS &lt;40</t>
  </si>
  <si>
    <t>At Risk</t>
  </si>
  <si>
    <t>RUL &lt;30d | Prob &gt;60%</t>
  </si>
  <si>
    <t>Calibration</t>
  </si>
  <si>
    <t>GMP Requirement: 100%</t>
  </si>
  <si>
    <t>Avg MTTR</t>
  </si>
  <si>
    <t>4.2 hrs</t>
  </si>
  <si>
    <t>Target: &lt;4h</t>
  </si>
  <si>
    <t>PM Compliance</t>
  </si>
  <si>
    <t>Scheduled maintenance</t>
  </si>
  <si>
    <t>Fleet Health</t>
  </si>
  <si>
    <t xml:space="preserve">GOOD </t>
  </si>
  <si>
    <t>Overall assessment</t>
  </si>
  <si>
    <t>Equipment_EHS</t>
  </si>
  <si>
    <t>Batch_Quality_Score</t>
  </si>
  <si>
    <t>Risk_Score</t>
  </si>
  <si>
    <t>Confidence_Level</t>
  </si>
  <si>
    <t>Equipment_RUL</t>
  </si>
  <si>
    <t>Equipment_Risk</t>
  </si>
  <si>
    <t>Supplier_Quality</t>
  </si>
  <si>
    <t>Supplier_Risk</t>
  </si>
  <si>
    <t>Temperature_Deviation</t>
  </si>
  <si>
    <t>Anomaly_Flag</t>
  </si>
  <si>
    <t>Integrated_Risk_Score</t>
  </si>
  <si>
    <t>Risk_Category</t>
  </si>
  <si>
    <t>Escalation_Required</t>
  </si>
  <si>
    <t>Anomaly_Type</t>
  </si>
  <si>
    <t>Anomaly_Score</t>
  </si>
  <si>
    <t>Z_Score_Method</t>
  </si>
  <si>
    <t>IQR_Method</t>
  </si>
  <si>
    <t>Supplier_Equipment_Correlation</t>
  </si>
  <si>
    <t>RUL_Risk</t>
  </si>
  <si>
    <t>Regime_Shift</t>
  </si>
  <si>
    <t>Ensemble_Vote</t>
  </si>
  <si>
    <t>Severity</t>
  </si>
  <si>
    <t>Alert_Message</t>
  </si>
  <si>
    <t>GREEN</t>
  </si>
  <si>
    <t>MEDIUM</t>
  </si>
  <si>
    <t>CONTINUE_MONITORING</t>
  </si>
  <si>
    <t>NO</t>
  </si>
  <si>
    <t>AERPA INTEGRATED RISK DASHBOARD - PHASE 1 + PHASE 2 (Production Ready)</t>
  </si>
  <si>
    <t>Total Batches</t>
  </si>
  <si>
    <t>Avg Risk</t>
  </si>
  <si>
    <t>CRITICAL</t>
  </si>
  <si>
    <t>Escalations</t>
  </si>
  <si>
    <t>HIGH Risk</t>
  </si>
  <si>
    <t>MEDIUM Risk</t>
  </si>
  <si>
    <t>1 batches</t>
  </si>
  <si>
    <t>LOW Risk</t>
  </si>
  <si>
    <t>Fleet Status</t>
  </si>
  <si>
    <t xml:space="preserve">MONITOR </t>
  </si>
  <si>
    <t>RISK DISTRIBUTION SUMMARY</t>
  </si>
  <si>
    <t>Category</t>
  </si>
  <si>
    <t>Count</t>
  </si>
  <si>
    <t>Percentage</t>
  </si>
  <si>
    <t>LOW</t>
  </si>
  <si>
    <t>RED</t>
  </si>
  <si>
    <t>ESCALATE</t>
  </si>
  <si>
    <t>REVIEW_SUPPLIER</t>
  </si>
  <si>
    <t>Generated: 17-Jan-2026 16:02 | Tenants: 20 | Batches: 50</t>
  </si>
  <si>
    <t>50 units</t>
  </si>
  <si>
    <t>2 batches</t>
  </si>
  <si>
    <t>-16.7 V | 2.0 A | 0.2 J</t>
  </si>
  <si>
    <t xml:space="preserve"> RAPIDLY DECREASING</t>
  </si>
  <si>
    <t>Momentum Indicator: 17.06</t>
  </si>
  <si>
    <t>Stability: 50.0%</t>
  </si>
  <si>
    <t>1. Environmental_Risk=0.44 (43.5%) (2) | 2. Environmental_Risk=0.32 (32.0%) (2) | 3. Environmental_Risk=0.63 (62.5%) (1)</t>
  </si>
  <si>
    <t>AutoCorr: 0.892</t>
  </si>
  <si>
    <t>Regime Shift: DETECTED</t>
  </si>
  <si>
    <t>Health: 23.4</t>
  </si>
  <si>
    <t>IMMEDIATE ACTION REQUIRED</t>
  </si>
  <si>
    <t>ESCALATE REVIEW</t>
  </si>
  <si>
    <t>MONITOR CLOSELY</t>
  </si>
  <si>
    <t xml:space="preserve"> PROCEED NORMALLY</t>
  </si>
  <si>
    <t>Model_ID</t>
  </si>
  <si>
    <t>Model_Type</t>
  </si>
  <si>
    <t>Feature_Name</t>
  </si>
  <si>
    <t>Coefficient</t>
  </si>
  <si>
    <t>Accuracy</t>
  </si>
  <si>
    <t>Precision</t>
  </si>
  <si>
    <t>Recall</t>
  </si>
  <si>
    <t>F1_Score</t>
  </si>
  <si>
    <t>Training_Date</t>
  </si>
  <si>
    <t>Deployment_Ready</t>
  </si>
  <si>
    <t>Action_ID</t>
  </si>
  <si>
    <t>Action_Type</t>
  </si>
  <si>
    <t>Priority</t>
  </si>
  <si>
    <t>Trigger_Condition</t>
  </si>
  <si>
    <t>Recommended_Action</t>
  </si>
  <si>
    <t>Due_Date</t>
  </si>
  <si>
    <t>Owner</t>
  </si>
  <si>
    <t>Cost_Estimate</t>
  </si>
  <si>
    <t>Compliance_Impact</t>
  </si>
  <si>
    <t>Alert_ID</t>
  </si>
  <si>
    <t>Alert_Type</t>
  </si>
  <si>
    <t>Triggered_At</t>
  </si>
  <si>
    <t>Metric_Name</t>
  </si>
  <si>
    <t>Metric_Value</t>
  </si>
  <si>
    <t>Threshold</t>
  </si>
  <si>
    <t>Recipient</t>
  </si>
  <si>
    <t>Delivery_Method</t>
  </si>
  <si>
    <t>Delivered_At</t>
  </si>
  <si>
    <t>Acknowledged_At</t>
  </si>
  <si>
    <t>Notes</t>
  </si>
  <si>
    <t>Audit_ID</t>
  </si>
  <si>
    <t>Change_Type</t>
  </si>
  <si>
    <t>Changed_By</t>
  </si>
  <si>
    <t>Changed_Date</t>
  </si>
  <si>
    <t>Change_Description</t>
  </si>
  <si>
    <t>Before_Value</t>
  </si>
  <si>
    <t>After_Value</t>
  </si>
  <si>
    <t>Reason</t>
  </si>
  <si>
    <t>Approval_Status</t>
  </si>
  <si>
    <t>Approved_By</t>
  </si>
  <si>
    <t>Approved_Date</t>
  </si>
  <si>
    <t>Attachment</t>
  </si>
  <si>
    <t>FDA_21CFR_Part11</t>
  </si>
  <si>
    <t>Config_ID</t>
  </si>
  <si>
    <t>Threshold_Low</t>
  </si>
  <si>
    <t>Threshold_High</t>
  </si>
  <si>
    <t>Email_Enabled</t>
  </si>
  <si>
    <t>Slack_Enabled</t>
  </si>
  <si>
    <t>SMS_Enabled</t>
  </si>
  <si>
    <t>Recipients_Email</t>
  </si>
  <si>
    <t>Recipients_Slack</t>
  </si>
  <si>
    <t>Escalation_Time_Minutes</t>
  </si>
  <si>
    <t>AutoAck</t>
  </si>
  <si>
    <t>CONFIG_RISK_CRITICAL</t>
  </si>
  <si>
    <t>Risk_Score_Critical</t>
  </si>
  <si>
    <t>ops-critical@pharma.com</t>
  </si>
  <si>
    <t>#ops-critical</t>
  </si>
  <si>
    <t>CONFIG_RISK_HIGH</t>
  </si>
  <si>
    <t>Risk_Score_High</t>
  </si>
  <si>
    <t>ops-alerts@pharma.com</t>
  </si>
  <si>
    <t>#ops-alerts</t>
  </si>
  <si>
    <t>CONFIG_MAINT_DUE</t>
  </si>
  <si>
    <t>Equipment_Maintenance_Due</t>
  </si>
  <si>
    <t>maintenance@pharma.com</t>
  </si>
  <si>
    <t>CONFIG_SUPPLIER_LOW</t>
  </si>
  <si>
    <t>Supplier_Quality_Low</t>
  </si>
  <si>
    <t>procurement@pharma.com</t>
  </si>
  <si>
    <t>#procurement</t>
  </si>
  <si>
    <t>ML_001</t>
  </si>
  <si>
    <t>Logistic_Regression</t>
  </si>
  <si>
    <t>ACTIVE</t>
  </si>
  <si>
    <t>YES</t>
  </si>
  <si>
    <t>ML_001_SUMMARY</t>
  </si>
  <si>
    <t>Logistic_Regression_Summary</t>
  </si>
  <si>
    <t>Intercept</t>
  </si>
  <si>
    <t>RELEASE</t>
  </si>
  <si>
    <t>HOLD</t>
  </si>
  <si>
    <t>ACT_1000</t>
  </si>
  <si>
    <t>SUPPLIER_AUDIT</t>
  </si>
  <si>
    <t>Supplier_Quality &lt; 0.65</t>
  </si>
  <si>
    <t>Schedule supplier quality audit</t>
  </si>
  <si>
    <t>Procurement</t>
  </si>
  <si>
    <t>OPEN</t>
  </si>
  <si>
    <t>Ensures supply chain quality</t>
  </si>
  <si>
    <t>ACT_1001</t>
  </si>
  <si>
    <t>ACT_1002</t>
  </si>
  <si>
    <t>ALR_100000</t>
  </si>
  <si>
    <t>TRIGGERED</t>
  </si>
  <si>
    <t>SLACK</t>
  </si>
  <si>
    <t>PENDING</t>
  </si>
  <si>
    <t>High risk batch - Escalation to #ops-alerts</t>
  </si>
  <si>
    <t>AUD_1001</t>
  </si>
  <si>
    <t>SYSTEM_INIT</t>
  </si>
  <si>
    <t>Phase 3E Full Stack Initialization</t>
  </si>
  <si>
    <t>SYSTEM_INITIALIZED</t>
  </si>
  <si>
    <t>PHASE3E_INIT</t>
  </si>
  <si>
    <t>System deployment</t>
  </si>
  <si>
    <t>APPROVED</t>
  </si>
  <si>
    <t>AUD_1002</t>
  </si>
  <si>
    <t>ML_MODEL_DEPLOY</t>
  </si>
  <si>
    <t>Logistic Regression Model Deployed (Accuracy: 89%)</t>
  </si>
  <si>
    <t>ML_MODEL_DEPLOYED</t>
  </si>
  <si>
    <t>Predictive model validation</t>
  </si>
  <si>
    <t>AUD_1003</t>
  </si>
  <si>
    <t>ALERT_SYS_ACTIVATE</t>
  </si>
  <si>
    <t>Real-time Alert System Activated</t>
  </si>
  <si>
    <t>DISABLED</t>
  </si>
  <si>
    <t>ENABLED</t>
  </si>
  <si>
    <t>ALERT_CONFIG</t>
  </si>
  <si>
    <t>Multi-channel alert delivery</t>
  </si>
  <si>
    <t>AERPA EXECUTIVE SUMMARY - STRATEGIC CONTROL CENTER</t>
  </si>
  <si>
    <t>Generated: 17-Jan-2026 22:00:13 | Period: Last 24 Hours</t>
  </si>
  <si>
    <t>RISK MANAGEMENT METRICS</t>
  </si>
  <si>
    <t>Metric</t>
  </si>
  <si>
    <t>Current</t>
  </si>
  <si>
    <t>Average Risk Score</t>
  </si>
  <si>
    <t>Critical Batches</t>
  </si>
  <si>
    <t>High Risk Batches</t>
  </si>
  <si>
    <t>MONITOR</t>
  </si>
  <si>
    <t xml:space="preserve"> CLEAR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</si>
</sst>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₹&quot;\ #,##0;[Red]&quot;₹&quot;\ \-#,##0"/>
    <numFmt numFmtId="164" formatCode="0.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1F4E79"/>
      <name val="Calibri"/>
      <family val="2"/>
      <scheme val="minor"/>
    </font>
    <font>
      <b/>
      <sz val="18"/>
      <color rgb="FF1F4E79"/>
      <name val="Times New Roman"/>
      <family val="1"/>
    </font>
    <font>
      <b/>
      <i/>
      <sz val="11"/>
      <color rgb="FF808080"/>
      <name val="Times New Roman"/>
      <family val="1"/>
    </font>
    <font>
      <i/>
      <sz val="12"/>
      <color rgb="FF4D4D4C"/>
      <name val="Times New Roman"/>
      <family val="1"/>
    </font>
    <font>
      <sz val="9"/>
      <color theme="1"/>
      <name val="Calibri"/>
      <family val="2"/>
      <scheme val="minor"/>
    </font>
    <font>
      <sz val="16"/>
      <color theme="1"/>
      <name val="Times New Roman"/>
      <family val="1"/>
    </font>
    <font>
      <b/>
      <sz val="18"/>
      <color rgb="FF00B064"/>
      <name val="Times New Roman"/>
      <family val="1"/>
    </font>
    <font>
      <b/>
      <sz val="18"/>
      <color rgb="FF00B050"/>
      <name val="Times New Roman"/>
      <family val="1"/>
    </font>
    <font>
      <b/>
      <sz val="18"/>
      <color theme="7"/>
      <name val="Times New Roman"/>
      <family val="1"/>
    </font>
    <font>
      <b/>
      <sz val="18"/>
      <color rgb="FFFF0000"/>
      <name val="Times New Roman"/>
      <family val="1"/>
    </font>
    <font>
      <i/>
      <sz val="12"/>
      <color theme="1"/>
      <name val="Times New Roman"/>
      <family val="1"/>
    </font>
    <font>
      <b/>
      <sz val="18"/>
      <color theme="0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theme="0"/>
      <name val="Times New Roman"/>
      <family val="1"/>
    </font>
    <font>
      <b/>
      <sz val="11"/>
      <color theme="1"/>
      <name val="Calibri"/>
      <family val="2"/>
      <scheme val="minor"/>
    </font>
    <font>
      <sz val="10"/>
      <color rgb="FF000000"/>
      <name val="Arial Unicode MS"/>
    </font>
    <font>
      <b/>
      <sz val="11"/>
      <color theme="1"/>
      <name val="Segoe UI"/>
      <family val="2"/>
    </font>
    <font>
      <b/>
      <sz val="18"/>
      <color rgb="FFAFAF00"/>
      <name val="Segoe UI"/>
      <family val="2"/>
    </font>
    <font>
      <sz val="11"/>
      <color theme="1"/>
      <name val="Segoe UI"/>
      <family val="2"/>
    </font>
    <font>
      <b/>
      <sz val="18"/>
      <color rgb="FF228B22"/>
      <name val="Segoe UI"/>
      <family val="2"/>
    </font>
    <font>
      <b/>
      <sz val="16"/>
      <color theme="1"/>
      <name val="Segoe UI"/>
      <family val="2"/>
    </font>
    <font>
      <b/>
      <sz val="14"/>
      <color rgb="FF228B22"/>
      <name val="Segoe UI"/>
      <family val="2"/>
    </font>
    <font>
      <b/>
      <sz val="14"/>
      <color theme="1"/>
      <name val="Segoe UI"/>
      <family val="2"/>
    </font>
    <font>
      <b/>
      <sz val="11"/>
      <color rgb="FFFFFFFF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Segoe UI"/>
      <family val="2"/>
    </font>
    <font>
      <b/>
      <sz val="11"/>
      <color rgb="FFFFFFFF"/>
      <name val="Times New Roman"/>
      <family val="1"/>
    </font>
    <font>
      <b/>
      <sz val="18"/>
      <color rgb="FF585959"/>
      <name val="Segoe UI"/>
      <family val="2"/>
    </font>
    <font>
      <b/>
      <sz val="11"/>
      <color rgb="FF295473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rgb="FF295473"/>
      <name val="Calibri"/>
      <family val="2"/>
      <scheme val="minor"/>
    </font>
    <font>
      <i/>
      <sz val="9"/>
      <color rgb="FF646464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DCF0DC"/>
        <bgColor indexed="64"/>
      </patternFill>
    </fill>
    <fill>
      <patternFill patternType="solid">
        <fgColor rgb="FFC8E6E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29547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4C86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6FF64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FF96"/>
        <bgColor indexed="64"/>
      </patternFill>
    </fill>
    <fill>
      <patternFill patternType="solid">
        <fgColor rgb="FFFFC86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F6464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64FF64"/>
        <bgColor indexed="64"/>
      </patternFill>
    </fill>
    <fill>
      <patternFill patternType="solid">
        <fgColor rgb="FFC8FFC8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rgb="FF00B050"/>
      </bottom>
      <diagonal/>
    </border>
    <border>
      <left/>
      <right/>
      <top style="thin">
        <color rgb="FF00B050"/>
      </top>
      <bottom/>
      <diagonal/>
    </border>
    <border>
      <left/>
      <right style="thin">
        <color rgb="FF00B050"/>
      </right>
      <top/>
      <bottom/>
      <diagonal/>
    </border>
    <border>
      <left/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theme="7"/>
      </left>
      <right/>
      <top/>
      <bottom/>
      <diagonal/>
    </border>
    <border>
      <left/>
      <right/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1" fillId="0" borderId="0" xfId="0" applyFont="1"/>
    <xf numFmtId="0" fontId="4" fillId="0" borderId="0" xfId="0" applyFont="1"/>
    <xf numFmtId="22" fontId="1" fillId="0" borderId="0" xfId="0" applyNumberFormat="1" applyFont="1"/>
    <xf numFmtId="0" fontId="0" fillId="0" borderId="1" xfId="0" applyBorder="1"/>
    <xf numFmtId="0" fontId="0" fillId="0" borderId="2" xfId="0" applyBorder="1"/>
    <xf numFmtId="0" fontId="6" fillId="0" borderId="0" xfId="0" applyFont="1"/>
    <xf numFmtId="0" fontId="5" fillId="4" borderId="0" xfId="0" applyFont="1" applyFill="1"/>
    <xf numFmtId="0" fontId="7" fillId="0" borderId="3" xfId="0" applyFont="1" applyBorder="1"/>
    <xf numFmtId="0" fontId="7" fillId="0" borderId="0" xfId="0" applyFont="1"/>
    <xf numFmtId="1" fontId="9" fillId="2" borderId="4" xfId="0" applyNumberFormat="1" applyFont="1" applyFill="1" applyBorder="1"/>
    <xf numFmtId="0" fontId="0" fillId="0" borderId="6" xfId="0" applyBorder="1"/>
    <xf numFmtId="0" fontId="10" fillId="5" borderId="8" xfId="0" applyFont="1" applyFill="1" applyBorder="1"/>
    <xf numFmtId="0" fontId="0" fillId="0" borderId="7" xfId="0" applyBorder="1"/>
    <xf numFmtId="0" fontId="11" fillId="6" borderId="0" xfId="0" applyFont="1" applyFill="1"/>
    <xf numFmtId="0" fontId="12" fillId="4" borderId="0" xfId="0" applyFont="1" applyFill="1"/>
    <xf numFmtId="0" fontId="13" fillId="8" borderId="0" xfId="0" applyFont="1" applyFill="1" applyAlignment="1">
      <alignment horizontal="center"/>
    </xf>
    <xf numFmtId="0" fontId="13" fillId="7" borderId="0" xfId="0" applyFont="1" applyFill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/>
    </xf>
    <xf numFmtId="22" fontId="0" fillId="0" borderId="0" xfId="0" applyNumberFormat="1"/>
    <xf numFmtId="0" fontId="16" fillId="7" borderId="0" xfId="0" applyFont="1" applyFill="1" applyAlignment="1">
      <alignment horizontal="center"/>
    </xf>
    <xf numFmtId="14" fontId="0" fillId="0" borderId="0" xfId="0" applyNumberFormat="1"/>
    <xf numFmtId="0" fontId="0" fillId="0" borderId="0" xfId="0" applyAlignment="1">
      <alignment vertical="center" wrapText="1"/>
    </xf>
    <xf numFmtId="22" fontId="0" fillId="0" borderId="0" xfId="0" applyNumberFormat="1" applyAlignment="1">
      <alignment vertical="center" wrapText="1"/>
    </xf>
    <xf numFmtId="22" fontId="16" fillId="7" borderId="0" xfId="0" applyNumberFormat="1" applyFont="1" applyFill="1" applyAlignment="1">
      <alignment horizontal="center"/>
    </xf>
    <xf numFmtId="0" fontId="14" fillId="0" borderId="0" xfId="0" applyFont="1"/>
    <xf numFmtId="0" fontId="15" fillId="0" borderId="0" xfId="0" applyFont="1"/>
    <xf numFmtId="22" fontId="14" fillId="0" borderId="0" xfId="0" applyNumberFormat="1" applyFont="1"/>
    <xf numFmtId="22" fontId="4" fillId="0" borderId="0" xfId="0" applyNumberFormat="1" applyFont="1"/>
    <xf numFmtId="10" fontId="8" fillId="3" borderId="5" xfId="0" applyNumberFormat="1" applyFont="1" applyFill="1" applyBorder="1"/>
    <xf numFmtId="164" fontId="17" fillId="8" borderId="0" xfId="0" applyNumberFormat="1" applyFont="1" applyFill="1"/>
    <xf numFmtId="0" fontId="18" fillId="0" borderId="9" xfId="0" applyFont="1" applyBorder="1" applyAlignment="1">
      <alignment horizontal="center" vertical="center"/>
    </xf>
    <xf numFmtId="10" fontId="0" fillId="0" borderId="10" xfId="0" applyNumberFormat="1" applyBorder="1"/>
    <xf numFmtId="0" fontId="19" fillId="9" borderId="11" xfId="0" applyFont="1" applyFill="1" applyBorder="1"/>
    <xf numFmtId="0" fontId="20" fillId="9" borderId="12" xfId="0" applyFont="1" applyFill="1" applyBorder="1"/>
    <xf numFmtId="0" fontId="21" fillId="9" borderId="12" xfId="0" applyFont="1" applyFill="1" applyBorder="1"/>
    <xf numFmtId="0" fontId="21" fillId="9" borderId="13" xfId="0" applyFont="1" applyFill="1" applyBorder="1"/>
    <xf numFmtId="10" fontId="22" fillId="9" borderId="12" xfId="0" applyNumberFormat="1" applyFont="1" applyFill="1" applyBorder="1"/>
    <xf numFmtId="0" fontId="23" fillId="9" borderId="12" xfId="0" applyFont="1" applyFill="1" applyBorder="1"/>
    <xf numFmtId="0" fontId="24" fillId="9" borderId="12" xfId="0" applyFont="1" applyFill="1" applyBorder="1"/>
    <xf numFmtId="0" fontId="25" fillId="9" borderId="12" xfId="0" applyFont="1" applyFill="1" applyBorder="1"/>
    <xf numFmtId="0" fontId="0" fillId="0" borderId="14" xfId="0" applyBorder="1" applyAlignment="1">
      <alignment horizontal="center" vertical="center"/>
    </xf>
    <xf numFmtId="0" fontId="13" fillId="7" borderId="9" xfId="0" applyFont="1" applyFill="1" applyBorder="1" applyAlignment="1">
      <alignment horizontal="center" vertical="center"/>
    </xf>
    <xf numFmtId="22" fontId="14" fillId="0" borderId="9" xfId="0" applyNumberFormat="1" applyFont="1" applyBorder="1" applyAlignment="1">
      <alignment vertical="center"/>
    </xf>
    <xf numFmtId="0" fontId="26" fillId="10" borderId="0" xfId="0" applyFont="1" applyFill="1" applyAlignment="1">
      <alignment vertical="center"/>
    </xf>
    <xf numFmtId="0" fontId="0" fillId="11" borderId="9" xfId="0" applyFill="1" applyBorder="1"/>
    <xf numFmtId="0" fontId="29" fillId="10" borderId="0" xfId="0" applyFont="1" applyFill="1" applyAlignment="1">
      <alignment horizontal="center"/>
    </xf>
    <xf numFmtId="10" fontId="0" fillId="0" borderId="0" xfId="0" applyNumberFormat="1"/>
    <xf numFmtId="0" fontId="26" fillId="10" borderId="0" xfId="0" applyFont="1" applyFill="1" applyAlignment="1">
      <alignment horizontal="center"/>
    </xf>
    <xf numFmtId="0" fontId="30" fillId="10" borderId="0" xfId="0" applyFont="1" applyFill="1" applyAlignment="1">
      <alignment horizontal="center"/>
    </xf>
    <xf numFmtId="0" fontId="26" fillId="10" borderId="0" xfId="0" applyFont="1" applyFill="1"/>
    <xf numFmtId="10" fontId="31" fillId="9" borderId="12" xfId="0" applyNumberFormat="1" applyFont="1" applyFill="1" applyBorder="1"/>
    <xf numFmtId="0" fontId="26" fillId="10" borderId="0" xfId="0" applyFont="1" applyFill="1" applyAlignment="1">
      <alignment horizontal="center" vertical="center" wrapText="1"/>
    </xf>
    <xf numFmtId="164" fontId="0" fillId="0" borderId="0" xfId="0" applyNumberFormat="1"/>
    <xf numFmtId="1" fontId="0" fillId="0" borderId="0" xfId="0" applyNumberFormat="1"/>
    <xf numFmtId="164" fontId="32" fillId="14" borderId="0" xfId="0" applyNumberFormat="1" applyFont="1" applyFill="1"/>
    <xf numFmtId="0" fontId="26" fillId="18" borderId="0" xfId="0" applyFont="1" applyFill="1" applyAlignment="1">
      <alignment horizontal="center"/>
    </xf>
    <xf numFmtId="0" fontId="26" fillId="19" borderId="0" xfId="0" applyFont="1" applyFill="1" applyAlignment="1">
      <alignment horizontal="center"/>
    </xf>
    <xf numFmtId="0" fontId="17" fillId="16" borderId="0" xfId="0" applyFont="1" applyFill="1"/>
    <xf numFmtId="0" fontId="28" fillId="21" borderId="0" xfId="0" applyFont="1" applyFill="1"/>
    <xf numFmtId="0" fontId="17" fillId="22" borderId="0" xfId="0" applyFont="1" applyFill="1"/>
    <xf numFmtId="0" fontId="0" fillId="13" borderId="0" xfId="0" applyFill="1"/>
    <xf numFmtId="10" fontId="0" fillId="13" borderId="0" xfId="0" applyNumberFormat="1" applyFill="1"/>
    <xf numFmtId="0" fontId="0" fillId="23" borderId="0" xfId="0" applyFill="1"/>
    <xf numFmtId="10" fontId="0" fillId="23" borderId="0" xfId="0" applyNumberFormat="1" applyFill="1"/>
    <xf numFmtId="0" fontId="0" fillId="24" borderId="0" xfId="0" applyFill="1"/>
    <xf numFmtId="10" fontId="0" fillId="24" borderId="0" xfId="0" applyNumberFormat="1" applyFill="1"/>
    <xf numFmtId="0" fontId="0" fillId="25" borderId="0" xfId="0" applyFill="1"/>
    <xf numFmtId="10" fontId="0" fillId="25" borderId="0" xfId="0" applyNumberFormat="1" applyFill="1"/>
    <xf numFmtId="0" fontId="17" fillId="14" borderId="0" xfId="0" applyFont="1" applyFill="1"/>
    <xf numFmtId="0" fontId="17" fillId="17" borderId="0" xfId="0" applyFont="1" applyFill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7" fillId="10" borderId="0" xfId="0" applyFont="1" applyFill="1" applyAlignment="1">
      <alignment horizontal="center"/>
    </xf>
    <xf numFmtId="0" fontId="28" fillId="12" borderId="0" xfId="0" applyFont="1" applyFill="1" applyAlignment="1">
      <alignment horizontal="center" vertical="center"/>
    </xf>
    <xf numFmtId="0" fontId="32" fillId="14" borderId="15" xfId="0" applyFont="1" applyFill="1" applyBorder="1" applyAlignment="1">
      <alignment horizontal="center" vertical="center"/>
    </xf>
    <xf numFmtId="0" fontId="35" fillId="11" borderId="15" xfId="0" applyFont="1" applyFill="1" applyBorder="1" applyAlignment="1">
      <alignment horizontal="center" vertical="center"/>
    </xf>
    <xf numFmtId="0" fontId="36" fillId="15" borderId="15" xfId="0" applyFont="1" applyFill="1" applyBorder="1" applyAlignment="1">
      <alignment horizontal="center" vertical="center"/>
    </xf>
    <xf numFmtId="10" fontId="35" fillId="11" borderId="15" xfId="0" applyNumberFormat="1" applyFont="1" applyFill="1" applyBorder="1" applyAlignment="1">
      <alignment horizontal="center" vertical="center"/>
    </xf>
    <xf numFmtId="0" fontId="32" fillId="16" borderId="15" xfId="0" applyFont="1" applyFill="1" applyBorder="1" applyAlignment="1">
      <alignment horizontal="center" vertical="center"/>
    </xf>
    <xf numFmtId="0" fontId="32" fillId="17" borderId="15" xfId="0" applyFont="1" applyFill="1" applyBorder="1" applyAlignment="1">
      <alignment horizontal="center" vertical="center"/>
    </xf>
    <xf numFmtId="0" fontId="33" fillId="10" borderId="0" xfId="0" applyFont="1" applyFill="1" applyAlignment="1">
      <alignment horizontal="center" vertical="center"/>
    </xf>
    <xf numFmtId="0" fontId="34" fillId="15" borderId="0" xfId="0" applyFont="1" applyFill="1" applyAlignment="1">
      <alignment horizontal="center"/>
    </xf>
    <xf numFmtId="0" fontId="37" fillId="16" borderId="0" xfId="0" applyFont="1" applyFill="1" applyAlignment="1">
      <alignment horizontal="center"/>
    </xf>
    <xf numFmtId="0" fontId="38" fillId="11" borderId="0" xfId="0" applyFont="1" applyFill="1" applyAlignment="1">
      <alignment horizontal="center"/>
    </xf>
    <xf numFmtId="0" fontId="37" fillId="17" borderId="0" xfId="0" applyFont="1" applyFill="1" applyAlignment="1">
      <alignment horizontal="center"/>
    </xf>
    <xf numFmtId="0" fontId="37" fillId="14" borderId="0" xfId="0" applyFont="1" applyFill="1" applyAlignment="1">
      <alignment horizontal="center"/>
    </xf>
    <xf numFmtId="0" fontId="27" fillId="18" borderId="0" xfId="0" applyFont="1" applyFill="1" applyAlignment="1">
      <alignment horizontal="center"/>
    </xf>
    <xf numFmtId="0" fontId="37" fillId="20" borderId="0" xfId="0" applyFont="1" applyFill="1" applyAlignment="1">
      <alignment horizontal="center"/>
    </xf>
    <xf numFmtId="0" fontId="26" fillId="26" borderId="0" xfId="0" applyFont="1" applyFill="1" applyAlignment="1">
      <alignment horizontal="center"/>
    </xf>
    <xf numFmtId="0" fontId="26" fillId="27" borderId="0" xfId="0" applyFont="1" applyFill="1" applyAlignment="1">
      <alignment horizontal="center"/>
    </xf>
    <xf numFmtId="0" fontId="26" fillId="28" borderId="0" xfId="0" applyFont="1" applyFill="1" applyAlignment="1">
      <alignment horizontal="center"/>
    </xf>
    <xf numFmtId="0" fontId="26" fillId="29" borderId="0" xfId="0" applyFont="1" applyFill="1" applyAlignment="1">
      <alignment horizontal="center"/>
    </xf>
    <xf numFmtId="0" fontId="0" fillId="20" borderId="0" xfId="0" applyFill="1"/>
    <xf numFmtId="0" fontId="0" fillId="17" borderId="0" xfId="0" applyFill="1"/>
    <xf numFmtId="0" fontId="0" fillId="30" borderId="0" xfId="0" applyFill="1"/>
    <xf numFmtId="14" fontId="0" fillId="30" borderId="0" xfId="0" applyNumberFormat="1" applyFill="1"/>
    <xf numFmtId="0" fontId="0" fillId="12" borderId="0" xfId="0" applyFill="1"/>
    <xf numFmtId="14" fontId="0" fillId="12" borderId="0" xfId="0" applyNumberFormat="1" applyFill="1"/>
    <xf numFmtId="0" fontId="0" fillId="31" borderId="0" xfId="0" applyFill="1"/>
    <xf numFmtId="14" fontId="0" fillId="17" borderId="0" xfId="0" applyNumberFormat="1" applyFill="1"/>
    <xf numFmtId="6" fontId="0" fillId="17" borderId="0" xfId="0" applyNumberFormat="1" applyFill="1"/>
    <xf numFmtId="22" fontId="0" fillId="23" borderId="0" xfId="0" applyNumberFormat="1" applyFill="1"/>
    <xf numFmtId="0" fontId="0" fillId="32" borderId="0" xfId="0" applyFill="1"/>
    <xf numFmtId="22" fontId="0" fillId="32" borderId="0" xfId="0" applyNumberFormat="1" applyFill="1"/>
  </cellXfs>
  <cellStyles count="1">
    <cellStyle name="Normal" xfId="0" builtinId="0"/>
  </cellStyles>
  <dxfs count="3">
    <dxf>
      <font>
        <b/>
        <i val="0"/>
        <color rgb="FFFFFFFF"/>
      </font>
      <fill>
        <patternFill>
          <bgColor rgb="FF00B050"/>
        </patternFill>
      </fill>
    </dxf>
    <dxf>
      <font>
        <b/>
        <i val="0"/>
        <color rgb="FF000000"/>
      </font>
      <fill>
        <patternFill>
          <bgColor rgb="FFFFC000"/>
        </patternFill>
      </fill>
    </dxf>
    <dxf>
      <font>
        <b/>
        <i val="0"/>
        <color rgb="FFFFFFFF"/>
      </font>
      <fill>
        <patternFill>
          <bgColor rgb="FFFF6464"/>
        </patternFill>
      </fill>
    </dxf>
  </dxfs>
  <tableStyles count="0" defaultTableStyle="TableStyleMedium2" defaultPivotStyle="PivotStyleLight16"/>
  <colors>
    <mruColors>
      <color rgb="FFFF6699"/>
      <color rgb="FFFFCC99"/>
      <color rgb="FFFF9999"/>
      <color rgb="FFC8E6E6"/>
      <color rgb="FF00B064"/>
      <color rgb="FF00B050"/>
      <color rgb="FFDCF0DC"/>
      <color rgb="FF808080"/>
      <color rgb="FF1F4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7471</xdr:colOff>
      <xdr:row>26</xdr:row>
      <xdr:rowOff>22410</xdr:rowOff>
    </xdr:from>
    <xdr:to>
      <xdr:col>1</xdr:col>
      <xdr:colOff>0</xdr:colOff>
      <xdr:row>29</xdr:row>
      <xdr:rowOff>57726</xdr:rowOff>
    </xdr:to>
    <xdr:sp macro="[0]!ModDasboard_Supreme.RefreshDashboard" textlink="">
      <xdr:nvSpPr>
        <xdr:cNvPr id="2" name="Rectangle 1">
          <a:extLst>
            <a:ext uri="{FF2B5EF4-FFF2-40B4-BE49-F238E27FC236}">
              <a16:creationId xmlns:a16="http://schemas.microsoft.com/office/drawing/2014/main" id="{785A7206-AE56-4129-0E15-60FC991A1FCE}"/>
            </a:ext>
          </a:extLst>
        </xdr:cNvPr>
        <xdr:cNvSpPr/>
      </xdr:nvSpPr>
      <xdr:spPr>
        <a:xfrm>
          <a:off x="7471" y="5722978"/>
          <a:ext cx="3946847" cy="598157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 i="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REFRESH DASHBOARD</a:t>
          </a:r>
          <a:endParaRPr lang="en-IN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2352386</xdr:colOff>
      <xdr:row>25</xdr:row>
      <xdr:rowOff>184148</xdr:rowOff>
    </xdr:from>
    <xdr:to>
      <xdr:col>2</xdr:col>
      <xdr:colOff>3506931</xdr:colOff>
      <xdr:row>29</xdr:row>
      <xdr:rowOff>86591</xdr:rowOff>
    </xdr:to>
    <xdr:sp macro="[0]!ModDasboard_Supreme.ShowRiskRegister" textlink="">
      <xdr:nvSpPr>
        <xdr:cNvPr id="3" name="Rectangle 2">
          <a:extLst>
            <a:ext uri="{FF2B5EF4-FFF2-40B4-BE49-F238E27FC236}">
              <a16:creationId xmlns:a16="http://schemas.microsoft.com/office/drawing/2014/main" id="{3E4F0871-8795-4D76-B189-4FC3FD2CD256}"/>
            </a:ext>
          </a:extLst>
        </xdr:cNvPr>
        <xdr:cNvSpPr/>
      </xdr:nvSpPr>
      <xdr:spPr>
        <a:xfrm>
          <a:off x="6306704" y="5812557"/>
          <a:ext cx="4012045" cy="652898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 i="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VIEW FULL RISK REGISTER</a:t>
          </a:r>
          <a:endParaRPr lang="en-IN" sz="1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1024830</xdr:colOff>
      <xdr:row>26</xdr:row>
      <xdr:rowOff>30983</xdr:rowOff>
    </xdr:from>
    <xdr:to>
      <xdr:col>3</xdr:col>
      <xdr:colOff>5123295</xdr:colOff>
      <xdr:row>29</xdr:row>
      <xdr:rowOff>28863</xdr:rowOff>
    </xdr:to>
    <xdr:sp macro="[0]!ModDasboard_Supreme.ExportReport" textlink="">
      <xdr:nvSpPr>
        <xdr:cNvPr id="4" name="Rectangle 3">
          <a:extLst>
            <a:ext uri="{FF2B5EF4-FFF2-40B4-BE49-F238E27FC236}">
              <a16:creationId xmlns:a16="http://schemas.microsoft.com/office/drawing/2014/main" id="{4A9E55DD-E6DC-4EC5-9280-F5CE546F2E9D}"/>
            </a:ext>
          </a:extLst>
        </xdr:cNvPr>
        <xdr:cNvSpPr/>
      </xdr:nvSpPr>
      <xdr:spPr>
        <a:xfrm>
          <a:off x="11891989" y="5847006"/>
          <a:ext cx="4098465" cy="560721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 i="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EXPORT REPORT</a:t>
          </a:r>
          <a:endParaRPr lang="en-IN" sz="1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1220525</xdr:colOff>
      <xdr:row>26</xdr:row>
      <xdr:rowOff>39065</xdr:rowOff>
    </xdr:from>
    <xdr:to>
      <xdr:col>5</xdr:col>
      <xdr:colOff>1205922</xdr:colOff>
      <xdr:row>29</xdr:row>
      <xdr:rowOff>36945</xdr:rowOff>
    </xdr:to>
    <xdr:sp macro="[0]!LoadEquipmentDataAndCalculateMetrics" textlink="">
      <xdr:nvSpPr>
        <xdr:cNvPr id="5" name="Rectangle 4">
          <a:extLst>
            <a:ext uri="{FF2B5EF4-FFF2-40B4-BE49-F238E27FC236}">
              <a16:creationId xmlns:a16="http://schemas.microsoft.com/office/drawing/2014/main" id="{83C6DB7B-6E52-4F15-8CE8-D84442C0D638}"/>
            </a:ext>
          </a:extLst>
        </xdr:cNvPr>
        <xdr:cNvSpPr/>
      </xdr:nvSpPr>
      <xdr:spPr>
        <a:xfrm>
          <a:off x="17268707" y="5855088"/>
          <a:ext cx="4098465" cy="560721"/>
        </a:xfrm>
        <a:prstGeom prst="rect">
          <a:avLst/>
        </a:prstGeom>
        <a:solidFill>
          <a:srgbClr val="FF66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latin typeface="Times New Roman" panose="02020603050405020304" pitchFamily="18" charset="0"/>
              <a:cs typeface="Times New Roman" panose="02020603050405020304" pitchFamily="18" charset="0"/>
            </a:rPr>
            <a:t>START</a:t>
          </a:r>
          <a:r>
            <a:rPr lang="en-IN" sz="18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PHASE1 ANALYSIS</a:t>
          </a:r>
          <a:endParaRPr lang="en-IN" sz="1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2238835</xdr:colOff>
      <xdr:row>26</xdr:row>
      <xdr:rowOff>32715</xdr:rowOff>
    </xdr:from>
    <xdr:to>
      <xdr:col>11</xdr:col>
      <xdr:colOff>218209</xdr:colOff>
      <xdr:row>29</xdr:row>
      <xdr:rowOff>30595</xdr:rowOff>
    </xdr:to>
    <xdr:sp macro="[0]!ExecutePhase2Pipeline" textlink="">
      <xdr:nvSpPr>
        <xdr:cNvPr id="6" name="Rectangle 5">
          <a:extLst>
            <a:ext uri="{FF2B5EF4-FFF2-40B4-BE49-F238E27FC236}">
              <a16:creationId xmlns:a16="http://schemas.microsoft.com/office/drawing/2014/main" id="{4446FBEA-98D3-42CD-9E12-59B50511DC13}"/>
            </a:ext>
          </a:extLst>
        </xdr:cNvPr>
        <xdr:cNvSpPr/>
      </xdr:nvSpPr>
      <xdr:spPr>
        <a:xfrm>
          <a:off x="22400085" y="5848738"/>
          <a:ext cx="4098465" cy="560721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latin typeface="Times New Roman" panose="02020603050405020304" pitchFamily="18" charset="0"/>
              <a:cs typeface="Times New Roman" panose="02020603050405020304" pitchFamily="18" charset="0"/>
            </a:rPr>
            <a:t>START</a:t>
          </a:r>
          <a:r>
            <a:rPr lang="en-IN" sz="18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PHASE2 ANALYSIS</a:t>
          </a:r>
          <a:endParaRPr lang="en-IN" sz="1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152570</xdr:colOff>
      <xdr:row>26</xdr:row>
      <xdr:rowOff>10201</xdr:rowOff>
    </xdr:from>
    <xdr:to>
      <xdr:col>20</xdr:col>
      <xdr:colOff>8081</xdr:colOff>
      <xdr:row>29</xdr:row>
      <xdr:rowOff>8081</xdr:rowOff>
    </xdr:to>
    <xdr:sp macro="[0]!ExecutePhase3EPipeline" textlink="">
      <xdr:nvSpPr>
        <xdr:cNvPr id="7" name="Rectangle 6">
          <a:extLst>
            <a:ext uri="{FF2B5EF4-FFF2-40B4-BE49-F238E27FC236}">
              <a16:creationId xmlns:a16="http://schemas.microsoft.com/office/drawing/2014/main" id="{F8D7DA37-898A-4B0D-9044-2E51C0E14810}"/>
            </a:ext>
          </a:extLst>
        </xdr:cNvPr>
        <xdr:cNvSpPr/>
      </xdr:nvSpPr>
      <xdr:spPr>
        <a:xfrm>
          <a:off x="27645184" y="5826224"/>
          <a:ext cx="4098465" cy="560721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 i="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START</a:t>
          </a:r>
          <a:r>
            <a:rPr lang="en-IN" sz="1800" b="1" i="0" baseline="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PHASE3 ANALYSIS</a:t>
          </a:r>
          <a:endParaRPr lang="en-IN" sz="1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1360</xdr:colOff>
      <xdr:row>0</xdr:row>
      <xdr:rowOff>0</xdr:rowOff>
    </xdr:from>
    <xdr:to>
      <xdr:col>18</xdr:col>
      <xdr:colOff>62592</xdr:colOff>
      <xdr:row>0</xdr:row>
      <xdr:rowOff>192768</xdr:rowOff>
    </xdr:to>
    <xdr:sp macro="[0]!FilterRISK_REGISTERByCritical" textlink="">
      <xdr:nvSpPr>
        <xdr:cNvPr id="2" name="Rectangle 1">
          <a:extLst>
            <a:ext uri="{FF2B5EF4-FFF2-40B4-BE49-F238E27FC236}">
              <a16:creationId xmlns:a16="http://schemas.microsoft.com/office/drawing/2014/main" id="{0E424234-BD38-4F7E-8E7A-408BAB45B4DC}"/>
            </a:ext>
          </a:extLst>
        </xdr:cNvPr>
        <xdr:cNvSpPr/>
      </xdr:nvSpPr>
      <xdr:spPr>
        <a:xfrm>
          <a:off x="21521510" y="0"/>
          <a:ext cx="1890032" cy="19276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1" i="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HIGHEST RISK FIRST</a:t>
          </a:r>
          <a:endParaRPr lang="en-IN" sz="105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0</xdr:colOff>
      <xdr:row>1</xdr:row>
      <xdr:rowOff>44904</xdr:rowOff>
    </xdr:from>
    <xdr:to>
      <xdr:col>18</xdr:col>
      <xdr:colOff>61232</xdr:colOff>
      <xdr:row>2</xdr:row>
      <xdr:rowOff>42182</xdr:rowOff>
    </xdr:to>
    <xdr:sp macro="[0]!ClearRISK_REGISTERFilter" textlink="">
      <xdr:nvSpPr>
        <xdr:cNvPr id="3" name="Rectangle 2">
          <a:extLst>
            <a:ext uri="{FF2B5EF4-FFF2-40B4-BE49-F238E27FC236}">
              <a16:creationId xmlns:a16="http://schemas.microsoft.com/office/drawing/2014/main" id="{F8886970-8DFE-48E7-B2F7-F96B05B8AE2B}"/>
            </a:ext>
          </a:extLst>
        </xdr:cNvPr>
        <xdr:cNvSpPr/>
      </xdr:nvSpPr>
      <xdr:spPr>
        <a:xfrm>
          <a:off x="21520150" y="254454"/>
          <a:ext cx="1890032" cy="18142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1"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r>
            <a:rPr lang="en-IN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FILTER</a:t>
          </a:r>
          <a:endParaRPr lang="en-IN" sz="105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4989</xdr:colOff>
      <xdr:row>2</xdr:row>
      <xdr:rowOff>126546</xdr:rowOff>
    </xdr:from>
    <xdr:to>
      <xdr:col>18</xdr:col>
      <xdr:colOff>66221</xdr:colOff>
      <xdr:row>3</xdr:row>
      <xdr:rowOff>135165</xdr:rowOff>
    </xdr:to>
    <xdr:sp macro="[0]!ExportRISK_REGISTERFiltered" textlink="">
      <xdr:nvSpPr>
        <xdr:cNvPr id="4" name="Rectangle 3">
          <a:extLst>
            <a:ext uri="{FF2B5EF4-FFF2-40B4-BE49-F238E27FC236}">
              <a16:creationId xmlns:a16="http://schemas.microsoft.com/office/drawing/2014/main" id="{C608E95C-014D-49AD-8093-A04B522ECC95}"/>
            </a:ext>
          </a:extLst>
        </xdr:cNvPr>
        <xdr:cNvSpPr/>
      </xdr:nvSpPr>
      <xdr:spPr>
        <a:xfrm>
          <a:off x="21525139" y="520246"/>
          <a:ext cx="1890032" cy="19276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1">
              <a:latin typeface="Times New Roman" panose="02020603050405020304" pitchFamily="18" charset="0"/>
              <a:cs typeface="Times New Roman" panose="02020603050405020304" pitchFamily="18" charset="0"/>
            </a:rPr>
            <a:t>EXPORT</a:t>
          </a:r>
          <a:r>
            <a:rPr lang="en-IN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FILTER</a:t>
          </a:r>
          <a:endParaRPr lang="en-IN" sz="105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21317</xdr:colOff>
      <xdr:row>4</xdr:row>
      <xdr:rowOff>24040</xdr:rowOff>
    </xdr:from>
    <xdr:to>
      <xdr:col>18</xdr:col>
      <xdr:colOff>82549</xdr:colOff>
      <xdr:row>5</xdr:row>
      <xdr:rowOff>32658</xdr:rowOff>
    </xdr:to>
    <xdr:sp macro="[0]!FormatRISK_REGISTERTable" textlink="">
      <xdr:nvSpPr>
        <xdr:cNvPr id="5" name="Rectangle 4">
          <a:extLst>
            <a:ext uri="{FF2B5EF4-FFF2-40B4-BE49-F238E27FC236}">
              <a16:creationId xmlns:a16="http://schemas.microsoft.com/office/drawing/2014/main" id="{5CACE6CC-72A4-4F6C-8AE9-143CF4806B1D}"/>
            </a:ext>
          </a:extLst>
        </xdr:cNvPr>
        <xdr:cNvSpPr/>
      </xdr:nvSpPr>
      <xdr:spPr>
        <a:xfrm>
          <a:off x="21541467" y="786040"/>
          <a:ext cx="1890032" cy="19276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1">
              <a:latin typeface="Times New Roman" panose="02020603050405020304" pitchFamily="18" charset="0"/>
              <a:cs typeface="Times New Roman" panose="02020603050405020304" pitchFamily="18" charset="0"/>
            </a:rPr>
            <a:t>FORMAT</a:t>
          </a:r>
          <a:r>
            <a:rPr lang="en-IN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IN" sz="105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26306</xdr:colOff>
      <xdr:row>5</xdr:row>
      <xdr:rowOff>105682</xdr:rowOff>
    </xdr:from>
    <xdr:to>
      <xdr:col>18</xdr:col>
      <xdr:colOff>87538</xdr:colOff>
      <xdr:row>6</xdr:row>
      <xdr:rowOff>114300</xdr:rowOff>
    </xdr:to>
    <xdr:sp macro="[0]!SortRISK_REGISTERByRiskScore" textlink="">
      <xdr:nvSpPr>
        <xdr:cNvPr id="6" name="Rectangle 5">
          <a:extLst>
            <a:ext uri="{FF2B5EF4-FFF2-40B4-BE49-F238E27FC236}">
              <a16:creationId xmlns:a16="http://schemas.microsoft.com/office/drawing/2014/main" id="{34A4262A-1EF9-405A-B588-43C018B5727E}"/>
            </a:ext>
          </a:extLst>
        </xdr:cNvPr>
        <xdr:cNvSpPr/>
      </xdr:nvSpPr>
      <xdr:spPr>
        <a:xfrm>
          <a:off x="21546456" y="1051832"/>
          <a:ext cx="1890032" cy="19276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1">
              <a:latin typeface="Times New Roman" panose="02020603050405020304" pitchFamily="18" charset="0"/>
              <a:cs typeface="Times New Roman" panose="02020603050405020304" pitchFamily="18" charset="0"/>
            </a:rPr>
            <a:t>SORT</a:t>
          </a:r>
          <a:r>
            <a:rPr lang="en-IN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BY RISK SCORE</a:t>
          </a:r>
          <a:endParaRPr lang="en-IN" sz="105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18</xdr:col>
      <xdr:colOff>561521</xdr:colOff>
      <xdr:row>0</xdr:row>
      <xdr:rowOff>0</xdr:rowOff>
    </xdr:from>
    <xdr:to>
      <xdr:col>22</xdr:col>
      <xdr:colOff>117475</xdr:colOff>
      <xdr:row>0</xdr:row>
      <xdr:rowOff>181429</xdr:rowOff>
    </xdr:to>
    <xdr:sp macro="[0]!GenerateRISK_REGISTERSummary" textlink="">
      <xdr:nvSpPr>
        <xdr:cNvPr id="7" name="Rectangle 6">
          <a:extLst>
            <a:ext uri="{FF2B5EF4-FFF2-40B4-BE49-F238E27FC236}">
              <a16:creationId xmlns:a16="http://schemas.microsoft.com/office/drawing/2014/main" id="{E1F43634-A807-48E0-9319-826892CE2437}"/>
            </a:ext>
          </a:extLst>
        </xdr:cNvPr>
        <xdr:cNvSpPr/>
      </xdr:nvSpPr>
      <xdr:spPr>
        <a:xfrm>
          <a:off x="23910471" y="0"/>
          <a:ext cx="1994354" cy="181429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1">
              <a:latin typeface="Times New Roman" panose="02020603050405020304" pitchFamily="18" charset="0"/>
              <a:cs typeface="Times New Roman" panose="02020603050405020304" pitchFamily="18" charset="0"/>
            </a:rPr>
            <a:t>RISK REGISTER</a:t>
          </a:r>
          <a:r>
            <a:rPr lang="en-IN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SUMMARY</a:t>
          </a:r>
          <a:endParaRPr lang="en-IN" sz="105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24948</xdr:colOff>
      <xdr:row>2</xdr:row>
      <xdr:rowOff>87538</xdr:rowOff>
    </xdr:from>
    <xdr:to>
      <xdr:col>22</xdr:col>
      <xdr:colOff>67130</xdr:colOff>
      <xdr:row>3</xdr:row>
      <xdr:rowOff>106135</xdr:rowOff>
    </xdr:to>
    <xdr:sp macro="[0]!FlagAnomalousRecords" textlink="">
      <xdr:nvSpPr>
        <xdr:cNvPr id="8" name="Rectangle 7">
          <a:extLst>
            <a:ext uri="{FF2B5EF4-FFF2-40B4-BE49-F238E27FC236}">
              <a16:creationId xmlns:a16="http://schemas.microsoft.com/office/drawing/2014/main" id="{2F3D4995-8840-458D-8B3C-2C4FA9603247}"/>
            </a:ext>
          </a:extLst>
        </xdr:cNvPr>
        <xdr:cNvSpPr/>
      </xdr:nvSpPr>
      <xdr:spPr>
        <a:xfrm>
          <a:off x="23983498" y="481238"/>
          <a:ext cx="1870982" cy="202747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1">
              <a:latin typeface="Times New Roman" panose="02020603050405020304" pitchFamily="18" charset="0"/>
              <a:cs typeface="Times New Roman" panose="02020603050405020304" pitchFamily="18" charset="0"/>
            </a:rPr>
            <a:t>FLAG ANOMALIES</a:t>
          </a:r>
        </a:p>
      </xdr:txBody>
    </xdr:sp>
    <xdr:clientData/>
  </xdr:twoCellAnchor>
  <xdr:twoCellAnchor>
    <xdr:from>
      <xdr:col>18</xdr:col>
      <xdr:colOff>412750</xdr:colOff>
      <xdr:row>3</xdr:row>
      <xdr:rowOff>157841</xdr:rowOff>
    </xdr:from>
    <xdr:to>
      <xdr:col>22</xdr:col>
      <xdr:colOff>332921</xdr:colOff>
      <xdr:row>5</xdr:row>
      <xdr:rowOff>29028</xdr:rowOff>
    </xdr:to>
    <xdr:sp macro="[0]!GenerateAnomalyReport" textlink="">
      <xdr:nvSpPr>
        <xdr:cNvPr id="9" name="Rectangle 8">
          <a:extLst>
            <a:ext uri="{FF2B5EF4-FFF2-40B4-BE49-F238E27FC236}">
              <a16:creationId xmlns:a16="http://schemas.microsoft.com/office/drawing/2014/main" id="{2E59C3AA-A335-452C-9734-335F33302C72}"/>
            </a:ext>
          </a:extLst>
        </xdr:cNvPr>
        <xdr:cNvSpPr/>
      </xdr:nvSpPr>
      <xdr:spPr>
        <a:xfrm>
          <a:off x="23761700" y="735691"/>
          <a:ext cx="2358571" cy="239487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1">
              <a:latin typeface="Times New Roman" panose="02020603050405020304" pitchFamily="18" charset="0"/>
              <a:cs typeface="Times New Roman" panose="02020603050405020304" pitchFamily="18" charset="0"/>
            </a:rPr>
            <a:t>GENERATE ANOMALY</a:t>
          </a:r>
          <a:r>
            <a:rPr lang="en-IN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REPORT</a:t>
          </a:r>
          <a:endParaRPr lang="en-IN" sz="105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46265</xdr:colOff>
      <xdr:row>5</xdr:row>
      <xdr:rowOff>89353</xdr:rowOff>
    </xdr:from>
    <xdr:to>
      <xdr:col>22</xdr:col>
      <xdr:colOff>88447</xdr:colOff>
      <xdr:row>6</xdr:row>
      <xdr:rowOff>107949</xdr:rowOff>
    </xdr:to>
    <xdr:sp macro="[0]!GetTopRiskDrivers" textlink="">
      <xdr:nvSpPr>
        <xdr:cNvPr id="10" name="Rectangle 9">
          <a:extLst>
            <a:ext uri="{FF2B5EF4-FFF2-40B4-BE49-F238E27FC236}">
              <a16:creationId xmlns:a16="http://schemas.microsoft.com/office/drawing/2014/main" id="{9A5BE12D-9328-4166-83D8-B998FB85D29E}"/>
            </a:ext>
          </a:extLst>
        </xdr:cNvPr>
        <xdr:cNvSpPr/>
      </xdr:nvSpPr>
      <xdr:spPr>
        <a:xfrm>
          <a:off x="24004815" y="1035503"/>
          <a:ext cx="1870982" cy="202746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1">
              <a:latin typeface="Times New Roman" panose="02020603050405020304" pitchFamily="18" charset="0"/>
              <a:cs typeface="Times New Roman" panose="02020603050405020304" pitchFamily="18" charset="0"/>
            </a:rPr>
            <a:t>TOP RISK DRIVER</a:t>
          </a:r>
        </a:p>
      </xdr:txBody>
    </xdr:sp>
    <xdr:clientData/>
  </xdr:twoCellAnchor>
  <xdr:twoCellAnchor>
    <xdr:from>
      <xdr:col>18</xdr:col>
      <xdr:colOff>570140</xdr:colOff>
      <xdr:row>7</xdr:row>
      <xdr:rowOff>9524</xdr:rowOff>
    </xdr:from>
    <xdr:to>
      <xdr:col>22</xdr:col>
      <xdr:colOff>128814</xdr:colOff>
      <xdr:row>8</xdr:row>
      <xdr:rowOff>54881</xdr:rowOff>
    </xdr:to>
    <xdr:sp macro="[0]!AnalyzeDriverImpact" textlink="">
      <xdr:nvSpPr>
        <xdr:cNvPr id="11" name="Rectangle 10">
          <a:extLst>
            <a:ext uri="{FF2B5EF4-FFF2-40B4-BE49-F238E27FC236}">
              <a16:creationId xmlns:a16="http://schemas.microsoft.com/office/drawing/2014/main" id="{0B33223B-C682-402B-B0A2-44EBE30213B5}"/>
            </a:ext>
          </a:extLst>
        </xdr:cNvPr>
        <xdr:cNvSpPr/>
      </xdr:nvSpPr>
      <xdr:spPr>
        <a:xfrm>
          <a:off x="23919090" y="1323974"/>
          <a:ext cx="1997074" cy="229507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1">
              <a:latin typeface="Times New Roman" panose="02020603050405020304" pitchFamily="18" charset="0"/>
              <a:cs typeface="Times New Roman" panose="02020603050405020304" pitchFamily="18" charset="0"/>
            </a:rPr>
            <a:t>DRIVER IMPACT ANALYSIS</a:t>
          </a:r>
        </a:p>
      </xdr:txBody>
    </xdr:sp>
    <xdr:clientData/>
  </xdr:twoCellAnchor>
  <xdr:twoCellAnchor>
    <xdr:from>
      <xdr:col>18</xdr:col>
      <xdr:colOff>597807</xdr:colOff>
      <xdr:row>8</xdr:row>
      <xdr:rowOff>147862</xdr:rowOff>
    </xdr:from>
    <xdr:to>
      <xdr:col>22</xdr:col>
      <xdr:colOff>94796</xdr:colOff>
      <xdr:row>10</xdr:row>
      <xdr:rowOff>4081</xdr:rowOff>
    </xdr:to>
    <xdr:sp macro="[0]!BulkExportByStatus" textlink="">
      <xdr:nvSpPr>
        <xdr:cNvPr id="12" name="Rectangle 11">
          <a:extLst>
            <a:ext uri="{FF2B5EF4-FFF2-40B4-BE49-F238E27FC236}">
              <a16:creationId xmlns:a16="http://schemas.microsoft.com/office/drawing/2014/main" id="{C49FF63A-335F-49EF-ACEF-BDD20FA59690}"/>
            </a:ext>
          </a:extLst>
        </xdr:cNvPr>
        <xdr:cNvSpPr/>
      </xdr:nvSpPr>
      <xdr:spPr>
        <a:xfrm>
          <a:off x="23946757" y="1646462"/>
          <a:ext cx="1935389" cy="224519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1">
              <a:latin typeface="Times New Roman" panose="02020603050405020304" pitchFamily="18" charset="0"/>
              <a:cs typeface="Times New Roman" panose="02020603050405020304" pitchFamily="18" charset="0"/>
            </a:rPr>
            <a:t>BULK EXPORT BY STATUS</a:t>
          </a:r>
        </a:p>
      </xdr:txBody>
    </xdr:sp>
    <xdr:clientData/>
  </xdr:twoCellAnchor>
  <xdr:twoCellAnchor>
    <xdr:from>
      <xdr:col>19</xdr:col>
      <xdr:colOff>41276</xdr:colOff>
      <xdr:row>1</xdr:row>
      <xdr:rowOff>15874</xdr:rowOff>
    </xdr:from>
    <xdr:to>
      <xdr:col>22</xdr:col>
      <xdr:colOff>83458</xdr:colOff>
      <xdr:row>2</xdr:row>
      <xdr:rowOff>23130</xdr:rowOff>
    </xdr:to>
    <xdr:sp macro="[0]!HighlightOutliers" textlink="">
      <xdr:nvSpPr>
        <xdr:cNvPr id="13" name="Rectangle 12">
          <a:extLst>
            <a:ext uri="{FF2B5EF4-FFF2-40B4-BE49-F238E27FC236}">
              <a16:creationId xmlns:a16="http://schemas.microsoft.com/office/drawing/2014/main" id="{DFAEA147-6CE4-42BD-B589-788BC1EA336A}"/>
            </a:ext>
          </a:extLst>
        </xdr:cNvPr>
        <xdr:cNvSpPr/>
      </xdr:nvSpPr>
      <xdr:spPr>
        <a:xfrm>
          <a:off x="23999826" y="225424"/>
          <a:ext cx="1870982" cy="191406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1">
              <a:latin typeface="Times New Roman" panose="02020603050405020304" pitchFamily="18" charset="0"/>
              <a:cs typeface="Times New Roman" panose="02020603050405020304" pitchFamily="18" charset="0"/>
            </a:rPr>
            <a:t>HIGHLIGHT OUTLIERS</a:t>
          </a:r>
        </a:p>
      </xdr:txBody>
    </xdr:sp>
    <xdr:clientData/>
  </xdr:twoCellAnchor>
  <xdr:twoCellAnchor>
    <xdr:from>
      <xdr:col>22</xdr:col>
      <xdr:colOff>484870</xdr:colOff>
      <xdr:row>0</xdr:row>
      <xdr:rowOff>19050</xdr:rowOff>
    </xdr:from>
    <xdr:to>
      <xdr:col>25</xdr:col>
      <xdr:colOff>546102</xdr:colOff>
      <xdr:row>0</xdr:row>
      <xdr:rowOff>203200</xdr:rowOff>
    </xdr:to>
    <xdr:sp macro="[0]!OpenRiskDataEntryForm" textlink="">
      <xdr:nvSpPr>
        <xdr:cNvPr id="14" name="Rectangle 13">
          <a:extLst>
            <a:ext uri="{FF2B5EF4-FFF2-40B4-BE49-F238E27FC236}">
              <a16:creationId xmlns:a16="http://schemas.microsoft.com/office/drawing/2014/main" id="{3A96A445-E6A6-4C82-9319-AAE53529EBC1}"/>
            </a:ext>
          </a:extLst>
        </xdr:cNvPr>
        <xdr:cNvSpPr/>
      </xdr:nvSpPr>
      <xdr:spPr>
        <a:xfrm>
          <a:off x="26272220" y="19050"/>
          <a:ext cx="1890032" cy="1841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1">
              <a:latin typeface="Times New Roman" panose="02020603050405020304" pitchFamily="18" charset="0"/>
              <a:cs typeface="Times New Roman" panose="02020603050405020304" pitchFamily="18" charset="0"/>
            </a:rPr>
            <a:t>OPEN</a:t>
          </a:r>
          <a:r>
            <a:rPr lang="en-IN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RISK ENTRY FORM</a:t>
          </a:r>
          <a:endParaRPr lang="en-IN" sz="105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22</xdr:col>
      <xdr:colOff>438150</xdr:colOff>
      <xdr:row>1</xdr:row>
      <xdr:rowOff>70303</xdr:rowOff>
    </xdr:from>
    <xdr:to>
      <xdr:col>25</xdr:col>
      <xdr:colOff>582386</xdr:colOff>
      <xdr:row>2</xdr:row>
      <xdr:rowOff>44903</xdr:rowOff>
    </xdr:to>
    <xdr:sp macro="[0]!SubmitRiskDataEntry" textlink="">
      <xdr:nvSpPr>
        <xdr:cNvPr id="15" name="Rectangle 14">
          <a:extLst>
            <a:ext uri="{FF2B5EF4-FFF2-40B4-BE49-F238E27FC236}">
              <a16:creationId xmlns:a16="http://schemas.microsoft.com/office/drawing/2014/main" id="{1A1CE39C-EB33-427D-ADAF-C04234388B06}"/>
            </a:ext>
          </a:extLst>
        </xdr:cNvPr>
        <xdr:cNvSpPr/>
      </xdr:nvSpPr>
      <xdr:spPr>
        <a:xfrm>
          <a:off x="26225500" y="279853"/>
          <a:ext cx="1973036" cy="1587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1">
              <a:latin typeface="Times New Roman" panose="02020603050405020304" pitchFamily="18" charset="0"/>
              <a:cs typeface="Times New Roman" panose="02020603050405020304" pitchFamily="18" charset="0"/>
            </a:rPr>
            <a:t>SUBMIT</a:t>
          </a:r>
          <a:r>
            <a:rPr lang="en-IN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RIST ENTRY DATA</a:t>
          </a:r>
          <a:endParaRPr lang="en-IN" sz="105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82531-F5D1-42DA-8F15-30DD3B558AA0}">
  <sheetPr codeName="Sheet22"/>
  <dimension ref="A1:M5"/>
  <sheetViews>
    <sheetView tabSelected="1" zoomScale="56" workbookViewId="0"/>
  </sheetViews>
  <sheetFormatPr defaultRowHeight="14.5" x14ac:dyDescent="0.35"/>
  <cols>
    <col min="1" max="1" width="28.90625" customWidth="1"/>
    <col min="2" max="2" width="29.36328125" customWidth="1"/>
    <col min="3" max="3" width="30.26953125" customWidth="1"/>
    <col min="4" max="4" width="35.6328125" customWidth="1"/>
    <col min="6" max="6" width="30.6328125" customWidth="1"/>
    <col min="7" max="7" width="25.36328125" customWidth="1"/>
    <col min="8" max="8" width="20.81640625" customWidth="1"/>
    <col min="9" max="9" width="35.90625" customWidth="1"/>
    <col min="10" max="10" width="21.7265625" customWidth="1"/>
  </cols>
  <sheetData>
    <row r="1" spans="1:13" ht="24" customHeight="1" x14ac:dyDescent="0.35">
      <c r="A1" s="93" t="s">
        <v>943</v>
      </c>
      <c r="B1" s="93" t="s">
        <v>920</v>
      </c>
      <c r="C1" s="93" t="s">
        <v>944</v>
      </c>
      <c r="D1" s="93" t="s">
        <v>945</v>
      </c>
      <c r="E1" s="93" t="s">
        <v>860</v>
      </c>
      <c r="F1" s="93" t="s">
        <v>946</v>
      </c>
      <c r="G1" s="93" t="s">
        <v>947</v>
      </c>
      <c r="H1" s="93" t="s">
        <v>948</v>
      </c>
      <c r="I1" s="93" t="s">
        <v>949</v>
      </c>
      <c r="J1" s="93" t="s">
        <v>950</v>
      </c>
      <c r="K1" s="93" t="s">
        <v>951</v>
      </c>
      <c r="L1" s="93" t="s">
        <v>952</v>
      </c>
      <c r="M1" s="93" t="s">
        <v>43</v>
      </c>
    </row>
    <row r="2" spans="1:13" x14ac:dyDescent="0.35">
      <c r="A2" s="94" t="s">
        <v>953</v>
      </c>
      <c r="B2" s="94" t="s">
        <v>954</v>
      </c>
      <c r="C2" s="94">
        <v>0</v>
      </c>
      <c r="D2" s="94">
        <v>40</v>
      </c>
      <c r="E2" s="94" t="s">
        <v>869</v>
      </c>
      <c r="F2" s="94" t="b">
        <v>1</v>
      </c>
      <c r="G2" s="94" t="b">
        <v>1</v>
      </c>
      <c r="H2" s="94" t="b">
        <v>0</v>
      </c>
      <c r="I2" s="94" t="s">
        <v>955</v>
      </c>
      <c r="J2" s="94" t="s">
        <v>956</v>
      </c>
      <c r="K2" s="94">
        <v>5</v>
      </c>
      <c r="L2" s="94" t="b">
        <v>0</v>
      </c>
      <c r="M2" s="94" t="b">
        <v>1</v>
      </c>
    </row>
    <row r="3" spans="1:13" x14ac:dyDescent="0.35">
      <c r="A3" s="64" t="s">
        <v>957</v>
      </c>
      <c r="B3" s="64" t="s">
        <v>958</v>
      </c>
      <c r="C3" s="64">
        <v>40</v>
      </c>
      <c r="D3" s="64">
        <v>60</v>
      </c>
      <c r="E3" s="64" t="s">
        <v>300</v>
      </c>
      <c r="F3" s="64" t="b">
        <v>1</v>
      </c>
      <c r="G3" s="64" t="b">
        <v>1</v>
      </c>
      <c r="H3" s="64" t="b">
        <v>0</v>
      </c>
      <c r="I3" s="64" t="s">
        <v>959</v>
      </c>
      <c r="J3" s="64" t="s">
        <v>960</v>
      </c>
      <c r="K3" s="64">
        <v>15</v>
      </c>
      <c r="L3" s="64" t="b">
        <v>1</v>
      </c>
      <c r="M3" s="64" t="b">
        <v>1</v>
      </c>
    </row>
    <row r="4" spans="1:13" x14ac:dyDescent="0.35">
      <c r="A4" s="66" t="s">
        <v>961</v>
      </c>
      <c r="B4" s="66" t="s">
        <v>962</v>
      </c>
      <c r="C4" s="66">
        <v>0</v>
      </c>
      <c r="D4" s="66">
        <v>30</v>
      </c>
      <c r="E4" s="66" t="s">
        <v>863</v>
      </c>
      <c r="F4" s="66" t="b">
        <v>1</v>
      </c>
      <c r="G4" s="66" t="b">
        <v>0</v>
      </c>
      <c r="H4" s="66" t="b">
        <v>0</v>
      </c>
      <c r="I4" s="66" t="s">
        <v>963</v>
      </c>
      <c r="J4" s="66"/>
      <c r="K4" s="66">
        <v>60</v>
      </c>
      <c r="L4" s="66" t="b">
        <v>1</v>
      </c>
      <c r="M4" s="66" t="b">
        <v>1</v>
      </c>
    </row>
    <row r="5" spans="1:13" x14ac:dyDescent="0.35">
      <c r="A5" s="95" t="s">
        <v>964</v>
      </c>
      <c r="B5" s="95" t="s">
        <v>965</v>
      </c>
      <c r="C5" s="95">
        <v>0</v>
      </c>
      <c r="D5" s="95">
        <v>0.65</v>
      </c>
      <c r="E5" s="95" t="s">
        <v>863</v>
      </c>
      <c r="F5" s="95" t="b">
        <v>1</v>
      </c>
      <c r="G5" s="95" t="b">
        <v>1</v>
      </c>
      <c r="H5" s="95" t="b">
        <v>0</v>
      </c>
      <c r="I5" s="95" t="s">
        <v>966</v>
      </c>
      <c r="J5" s="95" t="s">
        <v>967</v>
      </c>
      <c r="K5" s="95">
        <v>30</v>
      </c>
      <c r="L5" s="95" t="b">
        <v>1</v>
      </c>
      <c r="M5" s="95" t="b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2B412-3B10-45BE-A9D6-4F9D25331E02}">
  <sheetPr codeName="Sheet21"/>
  <dimension ref="A1:H8"/>
  <sheetViews>
    <sheetView workbookViewId="0">
      <selection activeCell="D8" sqref="D8"/>
    </sheetView>
  </sheetViews>
  <sheetFormatPr defaultRowHeight="14.5" x14ac:dyDescent="0.35"/>
  <cols>
    <col min="1" max="1" width="31.453125" customWidth="1"/>
    <col min="4" max="4" width="14.90625" customWidth="1"/>
  </cols>
  <sheetData>
    <row r="1" spans="1:8" ht="28" customHeight="1" x14ac:dyDescent="0.45">
      <c r="A1" s="88" t="s">
        <v>1010</v>
      </c>
      <c r="B1" s="88"/>
      <c r="C1" s="88"/>
      <c r="D1" s="88"/>
      <c r="E1" s="88"/>
      <c r="F1" s="88"/>
      <c r="G1" s="88"/>
      <c r="H1" s="88"/>
    </row>
    <row r="2" spans="1:8" x14ac:dyDescent="0.35">
      <c r="A2" s="83" t="s">
        <v>1011</v>
      </c>
      <c r="B2" s="83"/>
      <c r="C2" s="83"/>
      <c r="D2" s="83"/>
      <c r="E2" s="83"/>
      <c r="F2" s="83"/>
      <c r="G2" s="83"/>
      <c r="H2" s="83"/>
    </row>
    <row r="4" spans="1:8" ht="15.5" x14ac:dyDescent="0.35">
      <c r="A4" s="60" t="s">
        <v>1012</v>
      </c>
    </row>
    <row r="5" spans="1:8" x14ac:dyDescent="0.35">
      <c r="A5" s="61" t="s">
        <v>1013</v>
      </c>
      <c r="B5" s="61" t="s">
        <v>1014</v>
      </c>
      <c r="C5" s="61" t="s">
        <v>924</v>
      </c>
      <c r="D5" s="61" t="s">
        <v>17</v>
      </c>
    </row>
    <row r="6" spans="1:8" x14ac:dyDescent="0.35">
      <c r="A6" s="95" t="s">
        <v>1015</v>
      </c>
      <c r="B6" s="95">
        <v>84.5</v>
      </c>
      <c r="C6" s="95">
        <v>60</v>
      </c>
      <c r="D6" s="95" t="s">
        <v>1018</v>
      </c>
    </row>
    <row r="7" spans="1:8" x14ac:dyDescent="0.35">
      <c r="A7" s="104" t="s">
        <v>1016</v>
      </c>
      <c r="B7" s="104">
        <v>0</v>
      </c>
      <c r="C7" s="104">
        <v>0</v>
      </c>
      <c r="D7" s="104" t="s">
        <v>1019</v>
      </c>
    </row>
    <row r="8" spans="1:8" x14ac:dyDescent="0.35">
      <c r="A8" s="104" t="s">
        <v>1017</v>
      </c>
      <c r="B8" s="104">
        <v>1</v>
      </c>
      <c r="C8" s="104">
        <v>5</v>
      </c>
      <c r="D8" s="104" t="s">
        <v>303</v>
      </c>
    </row>
  </sheetData>
  <mergeCells count="2">
    <mergeCell ref="A1:H1"/>
    <mergeCell ref="A2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E7FBE-7B14-4C44-B723-7C82244D1CE3}">
  <sheetPr codeName="Sheet20"/>
  <dimension ref="A1:N4"/>
  <sheetViews>
    <sheetView zoomScale="43" workbookViewId="0">
      <selection activeCell="N10" sqref="N10"/>
    </sheetView>
  </sheetViews>
  <sheetFormatPr defaultRowHeight="14.5" x14ac:dyDescent="0.35"/>
  <cols>
    <col min="1" max="1" width="30" customWidth="1"/>
    <col min="2" max="2" width="24.1796875" customWidth="1"/>
    <col min="3" max="3" width="16.81640625" customWidth="1"/>
    <col min="4" max="4" width="25.36328125" customWidth="1"/>
    <col min="5" max="5" width="47.1796875" customWidth="1"/>
    <col min="6" max="6" width="27.81640625" customWidth="1"/>
    <col min="7" max="7" width="29.36328125" customWidth="1"/>
    <col min="8" max="8" width="28.36328125" customWidth="1"/>
    <col min="9" max="9" width="24.1796875" customWidth="1"/>
    <col min="10" max="10" width="28.7265625" customWidth="1"/>
    <col min="12" max="12" width="26.90625" customWidth="1"/>
    <col min="13" max="13" width="20.08984375" customWidth="1"/>
    <col min="14" max="14" width="27.26953125" customWidth="1"/>
  </cols>
  <sheetData>
    <row r="1" spans="1:14" ht="24" customHeight="1" x14ac:dyDescent="0.35">
      <c r="A1" s="58" t="s">
        <v>930</v>
      </c>
      <c r="B1" s="58" t="s">
        <v>931</v>
      </c>
      <c r="C1" s="58" t="s">
        <v>932</v>
      </c>
      <c r="D1" s="58" t="s">
        <v>933</v>
      </c>
      <c r="E1" s="58" t="s">
        <v>934</v>
      </c>
      <c r="F1" s="58" t="s">
        <v>935</v>
      </c>
      <c r="G1" s="58" t="s">
        <v>936</v>
      </c>
      <c r="H1" s="58" t="s">
        <v>15</v>
      </c>
      <c r="I1" s="58" t="s">
        <v>937</v>
      </c>
      <c r="J1" s="58" t="s">
        <v>938</v>
      </c>
      <c r="K1" s="58" t="s">
        <v>939</v>
      </c>
      <c r="L1" s="58" t="s">
        <v>940</v>
      </c>
      <c r="M1" s="58" t="s">
        <v>941</v>
      </c>
      <c r="N1" s="58" t="s">
        <v>942</v>
      </c>
    </row>
    <row r="2" spans="1:14" x14ac:dyDescent="0.35">
      <c r="A2" s="104" t="s">
        <v>991</v>
      </c>
      <c r="B2" s="104" t="s">
        <v>992</v>
      </c>
      <c r="C2" s="104" t="s">
        <v>247</v>
      </c>
      <c r="D2" s="105">
        <v>46039.916805555556</v>
      </c>
      <c r="E2" s="104" t="s">
        <v>993</v>
      </c>
      <c r="F2" s="104" t="s">
        <v>131</v>
      </c>
      <c r="G2" s="104" t="s">
        <v>994</v>
      </c>
      <c r="H2" s="104" t="s">
        <v>995</v>
      </c>
      <c r="I2" s="104" t="s">
        <v>996</v>
      </c>
      <c r="J2" s="104" t="s">
        <v>997</v>
      </c>
      <c r="K2" s="104" t="s">
        <v>247</v>
      </c>
      <c r="L2" s="105">
        <v>46039.916805555556</v>
      </c>
      <c r="M2" s="104"/>
      <c r="N2" s="104" t="s">
        <v>971</v>
      </c>
    </row>
    <row r="3" spans="1:14" x14ac:dyDescent="0.35">
      <c r="A3" s="104" t="s">
        <v>998</v>
      </c>
      <c r="B3" s="104" t="s">
        <v>999</v>
      </c>
      <c r="C3" s="104" t="s">
        <v>247</v>
      </c>
      <c r="D3" s="105">
        <v>46039.916805555556</v>
      </c>
      <c r="E3" s="104" t="s">
        <v>1000</v>
      </c>
      <c r="F3" s="104" t="s">
        <v>131</v>
      </c>
      <c r="G3" s="104" t="s">
        <v>1001</v>
      </c>
      <c r="H3" s="104" t="s">
        <v>968</v>
      </c>
      <c r="I3" s="104" t="s">
        <v>1002</v>
      </c>
      <c r="J3" s="104" t="s">
        <v>997</v>
      </c>
      <c r="K3" s="104" t="s">
        <v>247</v>
      </c>
      <c r="L3" s="105">
        <v>46039.916805555556</v>
      </c>
      <c r="M3" s="104"/>
      <c r="N3" s="104" t="s">
        <v>971</v>
      </c>
    </row>
    <row r="4" spans="1:14" x14ac:dyDescent="0.35">
      <c r="A4" s="104" t="s">
        <v>1003</v>
      </c>
      <c r="B4" s="104" t="s">
        <v>1004</v>
      </c>
      <c r="C4" s="104" t="s">
        <v>247</v>
      </c>
      <c r="D4" s="105">
        <v>46039.916805555556</v>
      </c>
      <c r="E4" s="104" t="s">
        <v>1005</v>
      </c>
      <c r="F4" s="104" t="s">
        <v>1006</v>
      </c>
      <c r="G4" s="104" t="s">
        <v>1007</v>
      </c>
      <c r="H4" s="104" t="s">
        <v>1008</v>
      </c>
      <c r="I4" s="104" t="s">
        <v>1009</v>
      </c>
      <c r="J4" s="104" t="s">
        <v>997</v>
      </c>
      <c r="K4" s="104" t="s">
        <v>247</v>
      </c>
      <c r="L4" s="105">
        <v>46039.916805555556</v>
      </c>
      <c r="M4" s="104"/>
      <c r="N4" s="104" t="s">
        <v>971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560C1-B144-43B3-A0BC-FA092D05D068}">
  <sheetPr codeName="Sheet19"/>
  <dimension ref="A1:N2"/>
  <sheetViews>
    <sheetView zoomScale="64" workbookViewId="0">
      <selection activeCell="J1" sqref="J1"/>
    </sheetView>
  </sheetViews>
  <sheetFormatPr defaultRowHeight="14.5" x14ac:dyDescent="0.35"/>
  <cols>
    <col min="1" max="1" width="21.90625" customWidth="1"/>
    <col min="2" max="2" width="21.1796875" customWidth="1"/>
    <col min="3" max="3" width="22.81640625" customWidth="1"/>
    <col min="5" max="5" width="31.453125" customWidth="1"/>
    <col min="6" max="6" width="20" customWidth="1"/>
    <col min="7" max="7" width="16.90625" customWidth="1"/>
    <col min="8" max="8" width="11.6328125" customWidth="1"/>
    <col min="9" max="9" width="15.81640625" customWidth="1"/>
    <col min="10" max="10" width="19.6328125" customWidth="1"/>
    <col min="11" max="11" width="20.7265625" customWidth="1"/>
    <col min="12" max="12" width="20.81640625" customWidth="1"/>
    <col min="13" max="13" width="24.81640625" customWidth="1"/>
    <col min="14" max="14" width="35.08984375" customWidth="1"/>
  </cols>
  <sheetData>
    <row r="1" spans="1:14" ht="24" customHeight="1" x14ac:dyDescent="0.35">
      <c r="A1" s="92" t="s">
        <v>919</v>
      </c>
      <c r="B1" s="92" t="s">
        <v>15</v>
      </c>
      <c r="C1" s="92" t="s">
        <v>920</v>
      </c>
      <c r="D1" s="92" t="s">
        <v>860</v>
      </c>
      <c r="E1" s="92" t="s">
        <v>921</v>
      </c>
      <c r="F1" s="92" t="s">
        <v>922</v>
      </c>
      <c r="G1" s="92" t="s">
        <v>923</v>
      </c>
      <c r="H1" s="92" t="s">
        <v>924</v>
      </c>
      <c r="I1" s="92" t="s">
        <v>17</v>
      </c>
      <c r="J1" s="92" t="s">
        <v>925</v>
      </c>
      <c r="K1" s="92" t="s">
        <v>926</v>
      </c>
      <c r="L1" s="92" t="s">
        <v>927</v>
      </c>
      <c r="M1" s="92" t="s">
        <v>928</v>
      </c>
      <c r="N1" s="92" t="s">
        <v>929</v>
      </c>
    </row>
    <row r="2" spans="1:14" x14ac:dyDescent="0.35">
      <c r="A2" s="64" t="s">
        <v>986</v>
      </c>
      <c r="B2" s="64" t="s">
        <v>185</v>
      </c>
      <c r="C2" s="64" t="s">
        <v>958</v>
      </c>
      <c r="D2" s="64" t="s">
        <v>300</v>
      </c>
      <c r="E2" s="103">
        <v>46039.91679398148</v>
      </c>
      <c r="F2" s="64" t="s">
        <v>849</v>
      </c>
      <c r="G2" s="64">
        <v>59.3</v>
      </c>
      <c r="H2" s="64">
        <v>60</v>
      </c>
      <c r="I2" s="64" t="s">
        <v>987</v>
      </c>
      <c r="J2" s="64" t="s">
        <v>959</v>
      </c>
      <c r="K2" s="64" t="s">
        <v>988</v>
      </c>
      <c r="L2" s="103">
        <v>46039.91679398148</v>
      </c>
      <c r="M2" s="64" t="s">
        <v>989</v>
      </c>
      <c r="N2" s="64" t="s">
        <v>990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45182-9966-4FF8-879F-CB67C28E7A50}">
  <sheetPr codeName="Sheet18"/>
  <dimension ref="A1:M4"/>
  <sheetViews>
    <sheetView workbookViewId="0"/>
  </sheetViews>
  <sheetFormatPr defaultRowHeight="14.5" x14ac:dyDescent="0.35"/>
  <cols>
    <col min="1" max="1" width="21.81640625" customWidth="1"/>
    <col min="2" max="2" width="26.7265625" customWidth="1"/>
    <col min="3" max="3" width="31.7265625" customWidth="1"/>
    <col min="4" max="4" width="20" customWidth="1"/>
    <col min="5" max="5" width="25.6328125" customWidth="1"/>
    <col min="6" max="6" width="29.453125" customWidth="1"/>
    <col min="7" max="7" width="23.36328125" customWidth="1"/>
    <col min="8" max="8" width="29" customWidth="1"/>
    <col min="9" max="9" width="32.6328125" customWidth="1"/>
    <col min="10" max="10" width="30.26953125" customWidth="1"/>
    <col min="11" max="11" width="20.08984375" customWidth="1"/>
    <col min="12" max="12" width="31.7265625" customWidth="1"/>
    <col min="13" max="13" width="27.7265625" customWidth="1"/>
  </cols>
  <sheetData>
    <row r="1" spans="1:13" ht="24" customHeight="1" x14ac:dyDescent="0.35">
      <c r="A1" s="91" t="s">
        <v>910</v>
      </c>
      <c r="B1" s="91" t="s">
        <v>15</v>
      </c>
      <c r="C1" s="91" t="s">
        <v>911</v>
      </c>
      <c r="D1" s="91" t="s">
        <v>912</v>
      </c>
      <c r="E1" s="91" t="s">
        <v>913</v>
      </c>
      <c r="F1" s="91" t="s">
        <v>914</v>
      </c>
      <c r="G1" s="91" t="s">
        <v>22</v>
      </c>
      <c r="H1" s="91" t="s">
        <v>82</v>
      </c>
      <c r="I1" s="91" t="s">
        <v>915</v>
      </c>
      <c r="J1" s="91" t="s">
        <v>916</v>
      </c>
      <c r="K1" s="91" t="s">
        <v>17</v>
      </c>
      <c r="L1" s="91" t="s">
        <v>917</v>
      </c>
      <c r="M1" s="91" t="s">
        <v>918</v>
      </c>
    </row>
    <row r="2" spans="1:13" x14ac:dyDescent="0.35">
      <c r="A2" s="95" t="s">
        <v>977</v>
      </c>
      <c r="B2" s="95" t="s">
        <v>185</v>
      </c>
      <c r="C2" s="95" t="s">
        <v>978</v>
      </c>
      <c r="D2" s="95" t="s">
        <v>863</v>
      </c>
      <c r="E2" s="95" t="s">
        <v>979</v>
      </c>
      <c r="F2" s="95" t="s">
        <v>980</v>
      </c>
      <c r="G2" s="95"/>
      <c r="H2" s="95">
        <v>2573</v>
      </c>
      <c r="I2" s="101">
        <v>46046</v>
      </c>
      <c r="J2" s="95" t="s">
        <v>981</v>
      </c>
      <c r="K2" s="95" t="s">
        <v>982</v>
      </c>
      <c r="L2" s="102">
        <v>1200</v>
      </c>
      <c r="M2" s="95" t="s">
        <v>983</v>
      </c>
    </row>
    <row r="3" spans="1:13" x14ac:dyDescent="0.35">
      <c r="A3" s="95" t="s">
        <v>984</v>
      </c>
      <c r="B3" s="95" t="s">
        <v>312</v>
      </c>
      <c r="C3" s="95" t="s">
        <v>978</v>
      </c>
      <c r="D3" s="95" t="s">
        <v>863</v>
      </c>
      <c r="E3" s="95" t="s">
        <v>979</v>
      </c>
      <c r="F3" s="95" t="s">
        <v>980</v>
      </c>
      <c r="G3" s="95"/>
      <c r="H3" s="95">
        <v>2573</v>
      </c>
      <c r="I3" s="101">
        <v>46046</v>
      </c>
      <c r="J3" s="95" t="s">
        <v>981</v>
      </c>
      <c r="K3" s="95" t="s">
        <v>982</v>
      </c>
      <c r="L3" s="102">
        <v>1200</v>
      </c>
      <c r="M3" s="95" t="s">
        <v>983</v>
      </c>
    </row>
    <row r="4" spans="1:13" x14ac:dyDescent="0.35">
      <c r="A4" s="95" t="s">
        <v>985</v>
      </c>
      <c r="B4" s="95" t="s">
        <v>335</v>
      </c>
      <c r="C4" s="95" t="s">
        <v>978</v>
      </c>
      <c r="D4" s="95" t="s">
        <v>863</v>
      </c>
      <c r="E4" s="95" t="s">
        <v>979</v>
      </c>
      <c r="F4" s="95" t="s">
        <v>980</v>
      </c>
      <c r="G4" s="95"/>
      <c r="H4" s="95">
        <v>2573</v>
      </c>
      <c r="I4" s="101">
        <v>46046</v>
      </c>
      <c r="J4" s="95" t="s">
        <v>981</v>
      </c>
      <c r="K4" s="95" t="s">
        <v>982</v>
      </c>
      <c r="L4" s="102">
        <v>1200</v>
      </c>
      <c r="M4" s="95" t="s">
        <v>983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30E71-6132-41CD-8913-C282BDA87240}">
  <sheetPr codeName="Sheet2"/>
  <dimension ref="A1:K7"/>
  <sheetViews>
    <sheetView zoomScale="56" workbookViewId="0"/>
  </sheetViews>
  <sheetFormatPr defaultRowHeight="14.5" x14ac:dyDescent="0.35"/>
  <cols>
    <col min="1" max="1" width="17.7265625" customWidth="1"/>
    <col min="2" max="2" width="43.6328125" customWidth="1"/>
    <col min="3" max="3" width="24.453125" customWidth="1"/>
    <col min="4" max="4" width="12.453125" customWidth="1"/>
    <col min="8" max="8" width="12.6328125" customWidth="1"/>
    <col min="9" max="9" width="21.26953125" customWidth="1"/>
    <col min="11" max="11" width="25.453125" customWidth="1"/>
  </cols>
  <sheetData>
    <row r="1" spans="1:11" ht="24" customHeight="1" x14ac:dyDescent="0.35">
      <c r="A1" s="90" t="s">
        <v>900</v>
      </c>
      <c r="B1" s="90" t="s">
        <v>901</v>
      </c>
      <c r="C1" s="90" t="s">
        <v>902</v>
      </c>
      <c r="D1" s="90" t="s">
        <v>903</v>
      </c>
      <c r="E1" s="90" t="s">
        <v>904</v>
      </c>
      <c r="F1" s="90" t="s">
        <v>905</v>
      </c>
      <c r="G1" s="90" t="s">
        <v>906</v>
      </c>
      <c r="H1" s="90" t="s">
        <v>907</v>
      </c>
      <c r="I1" s="90" t="s">
        <v>908</v>
      </c>
      <c r="J1" s="90" t="s">
        <v>17</v>
      </c>
      <c r="K1" s="90" t="s">
        <v>909</v>
      </c>
    </row>
    <row r="2" spans="1:11" x14ac:dyDescent="0.35">
      <c r="A2" s="96" t="s">
        <v>968</v>
      </c>
      <c r="B2" s="96" t="s">
        <v>969</v>
      </c>
      <c r="C2" s="96" t="s">
        <v>74</v>
      </c>
      <c r="D2" s="96">
        <v>-0.125</v>
      </c>
      <c r="E2" s="96">
        <v>0.89</v>
      </c>
      <c r="F2" s="96">
        <v>0.87</v>
      </c>
      <c r="G2" s="96">
        <v>0.91</v>
      </c>
      <c r="H2" s="96">
        <v>0.89</v>
      </c>
      <c r="I2" s="97">
        <v>46039</v>
      </c>
      <c r="J2" s="96" t="s">
        <v>970</v>
      </c>
      <c r="K2" s="96" t="s">
        <v>971</v>
      </c>
    </row>
    <row r="3" spans="1:11" x14ac:dyDescent="0.35">
      <c r="A3" s="96" t="s">
        <v>968</v>
      </c>
      <c r="B3" s="96" t="s">
        <v>969</v>
      </c>
      <c r="C3" s="96" t="s">
        <v>90</v>
      </c>
      <c r="D3" s="96">
        <v>-0.189</v>
      </c>
      <c r="E3" s="96">
        <v>0.89</v>
      </c>
      <c r="F3" s="96">
        <v>0.87</v>
      </c>
      <c r="G3" s="96">
        <v>0.91</v>
      </c>
      <c r="H3" s="96">
        <v>0.89</v>
      </c>
      <c r="I3" s="97">
        <v>46039</v>
      </c>
      <c r="J3" s="96" t="s">
        <v>970</v>
      </c>
      <c r="K3" s="96" t="s">
        <v>971</v>
      </c>
    </row>
    <row r="4" spans="1:11" x14ac:dyDescent="0.35">
      <c r="A4" s="96" t="s">
        <v>968</v>
      </c>
      <c r="B4" s="96" t="s">
        <v>969</v>
      </c>
      <c r="C4" s="96" t="s">
        <v>112</v>
      </c>
      <c r="D4" s="96">
        <v>2.3410000000000002</v>
      </c>
      <c r="E4" s="96">
        <v>0.89</v>
      </c>
      <c r="F4" s="96">
        <v>0.87</v>
      </c>
      <c r="G4" s="96">
        <v>0.91</v>
      </c>
      <c r="H4" s="96">
        <v>0.89</v>
      </c>
      <c r="I4" s="97">
        <v>46039</v>
      </c>
      <c r="J4" s="96" t="s">
        <v>970</v>
      </c>
      <c r="K4" s="96" t="s">
        <v>971</v>
      </c>
    </row>
    <row r="5" spans="1:11" x14ac:dyDescent="0.35">
      <c r="A5" s="96" t="s">
        <v>968</v>
      </c>
      <c r="B5" s="96" t="s">
        <v>969</v>
      </c>
      <c r="C5" s="96" t="s">
        <v>117</v>
      </c>
      <c r="D5" s="96">
        <v>1.847</v>
      </c>
      <c r="E5" s="96">
        <v>0.89</v>
      </c>
      <c r="F5" s="96">
        <v>0.87</v>
      </c>
      <c r="G5" s="96">
        <v>0.91</v>
      </c>
      <c r="H5" s="96">
        <v>0.89</v>
      </c>
      <c r="I5" s="97">
        <v>46039</v>
      </c>
      <c r="J5" s="96" t="s">
        <v>970</v>
      </c>
      <c r="K5" s="96" t="s">
        <v>971</v>
      </c>
    </row>
    <row r="6" spans="1:11" x14ac:dyDescent="0.35">
      <c r="A6" s="96" t="s">
        <v>968</v>
      </c>
      <c r="B6" s="96" t="s">
        <v>969</v>
      </c>
      <c r="C6" s="96" t="s">
        <v>839</v>
      </c>
      <c r="D6" s="96">
        <v>4.4999999999999998E-2</v>
      </c>
      <c r="E6" s="96">
        <v>0.89</v>
      </c>
      <c r="F6" s="96">
        <v>0.87</v>
      </c>
      <c r="G6" s="96">
        <v>0.91</v>
      </c>
      <c r="H6" s="96">
        <v>0.89</v>
      </c>
      <c r="I6" s="97">
        <v>46039</v>
      </c>
      <c r="J6" s="96" t="s">
        <v>970</v>
      </c>
      <c r="K6" s="96" t="s">
        <v>971</v>
      </c>
    </row>
    <row r="7" spans="1:11" x14ac:dyDescent="0.35">
      <c r="A7" s="98" t="s">
        <v>972</v>
      </c>
      <c r="B7" s="98" t="s">
        <v>973</v>
      </c>
      <c r="C7" s="98" t="s">
        <v>974</v>
      </c>
      <c r="D7" s="98">
        <v>-2.8450000000000002</v>
      </c>
      <c r="E7" s="98">
        <v>0.89</v>
      </c>
      <c r="F7" s="98">
        <v>0.87</v>
      </c>
      <c r="G7" s="98">
        <v>0.91</v>
      </c>
      <c r="H7" s="98">
        <v>0.89</v>
      </c>
      <c r="I7" s="99">
        <v>46039</v>
      </c>
      <c r="J7" s="98" t="s">
        <v>970</v>
      </c>
      <c r="K7" s="98" t="s">
        <v>971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BBC8E-AD87-4CB8-8195-6BAE56831AA2}">
  <sheetPr codeName="Sheet1"/>
  <dimension ref="A1:F58"/>
  <sheetViews>
    <sheetView topLeftCell="A20" zoomScale="35" workbookViewId="0">
      <selection activeCell="R33" sqref="R33"/>
    </sheetView>
  </sheetViews>
  <sheetFormatPr defaultRowHeight="14.5" x14ac:dyDescent="0.35"/>
  <cols>
    <col min="1" max="1" width="56.54296875" customWidth="1"/>
    <col min="2" max="2" width="41" customWidth="1"/>
    <col min="3" max="3" width="58.08984375" customWidth="1"/>
    <col min="4" max="4" width="74.1796875" customWidth="1"/>
    <col min="5" max="5" width="58.81640625" customWidth="1"/>
    <col min="6" max="6" width="44.1796875" customWidth="1"/>
  </cols>
  <sheetData>
    <row r="1" spans="1:5" ht="31" customHeight="1" x14ac:dyDescent="0.35">
      <c r="A1" s="72" t="s">
        <v>295</v>
      </c>
      <c r="B1" s="73"/>
      <c r="C1" s="73"/>
      <c r="D1" s="73"/>
      <c r="E1" s="73"/>
    </row>
    <row r="2" spans="1:5" x14ac:dyDescent="0.35">
      <c r="A2" s="2" t="s">
        <v>0</v>
      </c>
      <c r="B2" s="29"/>
      <c r="C2" s="2"/>
      <c r="D2" s="6"/>
    </row>
    <row r="3" spans="1:5" s="1" customFormat="1" ht="14" x14ac:dyDescent="0.3">
      <c r="A3" s="1" t="s">
        <v>1</v>
      </c>
      <c r="B3" s="3">
        <f ca="1">NOW()</f>
        <v>46039.922986805555</v>
      </c>
    </row>
    <row r="5" spans="1:5" x14ac:dyDescent="0.35">
      <c r="B5" s="4"/>
    </row>
    <row r="6" spans="1:5" ht="28" customHeight="1" x14ac:dyDescent="0.45">
      <c r="A6" s="8" t="s">
        <v>2</v>
      </c>
      <c r="B6" s="10">
        <f>COUNTA(RISK_REGISTER!C:C)-1</f>
        <v>50</v>
      </c>
    </row>
    <row r="7" spans="1:5" ht="15.5" x14ac:dyDescent="0.35">
      <c r="A7" s="7" t="s">
        <v>3</v>
      </c>
      <c r="B7" s="5"/>
    </row>
    <row r="9" spans="1:5" ht="22.5" x14ac:dyDescent="0.45">
      <c r="A9" s="9" t="s">
        <v>4</v>
      </c>
      <c r="B9" s="30">
        <f>COUNTIF(RISK_REGISTER!J:J,"PASS")/COUNTA(RISK_REGISTER!J:J)-1</f>
        <v>-0.70588235294117641</v>
      </c>
    </row>
    <row r="10" spans="1:5" ht="15.5" x14ac:dyDescent="0.35">
      <c r="A10" s="7" t="s">
        <v>5</v>
      </c>
    </row>
    <row r="12" spans="1:5" ht="22.5" x14ac:dyDescent="0.45">
      <c r="A12" s="9" t="s">
        <v>6</v>
      </c>
      <c r="B12" s="12">
        <f>COUNTIF(RISK_REGISTER!J:J,"REVIEW")</f>
        <v>35</v>
      </c>
      <c r="C12" s="11"/>
    </row>
    <row r="13" spans="1:5" ht="15.5" x14ac:dyDescent="0.35">
      <c r="A13" s="7" t="s">
        <v>7</v>
      </c>
      <c r="B13" s="13"/>
    </row>
    <row r="14" spans="1:5" ht="22.5" x14ac:dyDescent="0.45">
      <c r="A14" s="9" t="s">
        <v>228</v>
      </c>
      <c r="B14" s="14">
        <f>COUNTIF(RISK_REGISTER!J:J,"HOLD")</f>
        <v>0</v>
      </c>
    </row>
    <row r="15" spans="1:5" ht="15.5" x14ac:dyDescent="0.35">
      <c r="A15" s="15" t="s">
        <v>8</v>
      </c>
      <c r="B15" s="31"/>
    </row>
    <row r="16" spans="1:5" x14ac:dyDescent="0.35">
      <c r="B16" s="33"/>
    </row>
    <row r="17" spans="1:6" s="16" customFormat="1" ht="22.5" x14ac:dyDescent="0.45">
      <c r="A17" s="43" t="s">
        <v>9</v>
      </c>
      <c r="B17" s="17" t="s">
        <v>232</v>
      </c>
      <c r="C17" s="17" t="s">
        <v>10</v>
      </c>
      <c r="D17" s="17" t="s">
        <v>11</v>
      </c>
      <c r="E17" s="17" t="s">
        <v>12</v>
      </c>
      <c r="F17" s="17" t="s">
        <v>13</v>
      </c>
    </row>
    <row r="18" spans="1:6" ht="15.5" x14ac:dyDescent="0.35">
      <c r="A18" s="44" t="str" cm="1">
        <f t="array" ref="A18">IFERROR(INDEX(RISK_REGISTER!B:B,ROW()-16),"")</f>
        <v>BATCH-2026-015</v>
      </c>
      <c r="B18" s="42" cm="1">
        <f t="array" ref="B18">IFERROR(INDEX(RISK_REGISTER!D:D,ROW()-16),"")</f>
        <v>48.56</v>
      </c>
      <c r="C18" s="18" cm="1">
        <f t="array" ref="C18">IFERROR(INDEX(RISK_REGISTER!E:E,ROW()-16),"")</f>
        <v>0.48549999999999999</v>
      </c>
      <c r="D18" s="32" t="str" cm="1">
        <f t="array" ref="D18">IFERROR(INDEX(RISK_REGISTER!I:I,ROW()-16),"")</f>
        <v>SCHEDULE REVIEW: Risk 48.6. Confidence 0.49. QA approval required.</v>
      </c>
      <c r="E18" s="18" t="str" cm="1">
        <f t="array" ref="E18">IFERROR(INDEX(RISK_REGISTER!F:F,ROW()-16),"")</f>
        <v>External_Market=0.75 (75.0%)</v>
      </c>
      <c r="F18" s="18" t="str" cm="1">
        <f t="array" ref="F18">IFERROR(INDEX(RISK_REGISTER!J:J,ROW()-16),"")</f>
        <v>REVIEW</v>
      </c>
    </row>
    <row r="19" spans="1:6" ht="15.5" x14ac:dyDescent="0.35">
      <c r="A19" s="44" t="str" cm="1">
        <f t="array" ref="A19">IFERROR(INDEX(RISK_REGISTER!B:B,ROW()-16),"")</f>
        <v>BATCH-2026-049</v>
      </c>
      <c r="B19" s="42" cm="1">
        <f t="array" ref="B19">IFERROR(INDEX(RISK_REGISTER!D:D,ROW()-16),"")</f>
        <v>47.18</v>
      </c>
      <c r="C19" s="18" cm="1">
        <f t="array" ref="C19">IFERROR(INDEX(RISK_REGISTER!E:E,ROW()-16),"")</f>
        <v>0.53710000000000002</v>
      </c>
      <c r="D19" s="32" t="str" cm="1">
        <f t="array" ref="D19">IFERROR(INDEX(RISK_REGISTER!I:I,ROW()-16),"")</f>
        <v>SCHEDULE REVIEW: Risk 47.2. Confidence 0.54. QA approval required.</v>
      </c>
      <c r="E19" s="18" t="str" cm="1">
        <f t="array" ref="E19">IFERROR(INDEX(RISK_REGISTER!F:F,ROW()-16),"")</f>
        <v>External_Market=0.69 (69.0%)</v>
      </c>
      <c r="F19" s="18" t="str" cm="1">
        <f t="array" ref="F19">IFERROR(INDEX(RISK_REGISTER!J:J,ROW()-16),"")</f>
        <v>REVIEW</v>
      </c>
    </row>
    <row r="20" spans="1:6" ht="15.5" x14ac:dyDescent="0.35">
      <c r="A20" s="44" t="str" cm="1">
        <f t="array" ref="A20">IFERROR(INDEX(RISK_REGISTER!B:B,ROW()-16),"")</f>
        <v>BATCH-2026-042</v>
      </c>
      <c r="B20" s="42" cm="1">
        <f t="array" ref="B20">IFERROR(INDEX(RISK_REGISTER!D:D,ROW()-16),"")</f>
        <v>47.07</v>
      </c>
      <c r="C20" s="18" cm="1">
        <f t="array" ref="C20">IFERROR(INDEX(RISK_REGISTER!E:E,ROW()-16),"")</f>
        <v>0.56030000000000002</v>
      </c>
      <c r="D20" s="32" t="str" cm="1">
        <f t="array" ref="D20">IFERROR(INDEX(RISK_REGISTER!I:I,ROW()-16),"")</f>
        <v>SCHEDULE REVIEW: Risk 47.1. Confidence 0.56. QA approval required.</v>
      </c>
      <c r="E20" s="18" t="str" cm="1">
        <f t="array" ref="E20">IFERROR(INDEX(RISK_REGISTER!F:F,ROW()-16),"")</f>
        <v>External_Market=0.78 (78.0%)</v>
      </c>
      <c r="F20" s="18" t="str" cm="1">
        <f t="array" ref="F20">IFERROR(INDEX(RISK_REGISTER!J:J,ROW()-16),"")</f>
        <v>REVIEW</v>
      </c>
    </row>
    <row r="21" spans="1:6" ht="15.5" x14ac:dyDescent="0.35">
      <c r="A21" s="44" t="str" cm="1">
        <f t="array" ref="A21">IFERROR(INDEX(RISK_REGISTER!B:B,ROW()-16),"")</f>
        <v>BATCH-2026-001</v>
      </c>
      <c r="B21" s="42" cm="1">
        <f t="array" ref="B21">IFERROR(INDEX(RISK_REGISTER!D:D,ROW()-16),"")</f>
        <v>45.52</v>
      </c>
      <c r="C21" s="18" cm="1">
        <f t="array" ref="C21">IFERROR(INDEX(RISK_REGISTER!E:E,ROW()-16),"")</f>
        <v>0.6845</v>
      </c>
      <c r="D21" s="32" t="str" cm="1">
        <f t="array" ref="D21">IFERROR(INDEX(RISK_REGISTER!I:I,ROW()-16),"")</f>
        <v>SCHEDULE REVIEW: Risk 45.5. Confidence 0.68. QA approval required.</v>
      </c>
      <c r="E21" s="18" t="str" cm="1">
        <f t="array" ref="E21">IFERROR(INDEX(RISK_REGISTER!F:F,ROW()-16),"")</f>
        <v>External_Market=0.73 (73.0%)</v>
      </c>
      <c r="F21" s="18" t="str" cm="1">
        <f t="array" ref="F21">IFERROR(INDEX(RISK_REGISTER!J:J,ROW()-16),"")</f>
        <v>REVIEW</v>
      </c>
    </row>
    <row r="22" spans="1:6" ht="15.5" x14ac:dyDescent="0.35">
      <c r="A22" s="44" t="str" cm="1">
        <f t="array" ref="A22">IFERROR(INDEX(RISK_REGISTER!B:B,ROW()-16),"")</f>
        <v>BATCH-2026-006</v>
      </c>
      <c r="B22" s="42" cm="1">
        <f t="array" ref="B22">IFERROR(INDEX(RISK_REGISTER!D:D,ROW()-16),"")</f>
        <v>44.62</v>
      </c>
      <c r="C22" s="18" cm="1">
        <f t="array" ref="C22">IFERROR(INDEX(RISK_REGISTER!E:E,ROW()-16),"")</f>
        <v>0.54710000000000003</v>
      </c>
      <c r="D22" s="32" t="str" cm="1">
        <f t="array" ref="D22">IFERROR(INDEX(RISK_REGISTER!I:I,ROW()-16),"")</f>
        <v>SCHEDULE REVIEW: Risk 44.6. Confidence 0.55. QA approval required.</v>
      </c>
      <c r="E22" s="18" t="str" cm="1">
        <f t="array" ref="E22">IFERROR(INDEX(RISK_REGISTER!F:F,ROW()-16),"")</f>
        <v>External_Market=0.72 (72.0%)</v>
      </c>
      <c r="F22" s="18" t="str" cm="1">
        <f t="array" ref="F22">IFERROR(INDEX(RISK_REGISTER!J:J,ROW()-16),"")</f>
        <v>REVIEW</v>
      </c>
    </row>
    <row r="23" spans="1:6" ht="15.5" x14ac:dyDescent="0.35">
      <c r="A23" s="44" t="str" cm="1">
        <f t="array" ref="A23">IFERROR(INDEX(RISK_REGISTER!B:B,ROW()-16),"")</f>
        <v>BATCH-2026-013</v>
      </c>
      <c r="B23" s="42" cm="1">
        <f t="array" ref="B23">IFERROR(INDEX(RISK_REGISTER!D:D,ROW()-16),"")</f>
        <v>44.24</v>
      </c>
      <c r="C23" s="18" cm="1">
        <f t="array" ref="C23">IFERROR(INDEX(RISK_REGISTER!E:E,ROW()-16),"")</f>
        <v>0.51700000000000002</v>
      </c>
      <c r="D23" s="32" t="str" cm="1">
        <f t="array" ref="D23">IFERROR(INDEX(RISK_REGISTER!I:I,ROW()-16),"")</f>
        <v>SCHEDULE REVIEW: Risk 44.2. Confidence 0.52. QA approval required.</v>
      </c>
      <c r="E23" s="18" t="str" cm="1">
        <f t="array" ref="E23">IFERROR(INDEX(RISK_REGISTER!F:F,ROW()-16),"")</f>
        <v>External_Market=0.63 (63.0%)</v>
      </c>
      <c r="F23" s="18" t="str" cm="1">
        <f t="array" ref="F23">IFERROR(INDEX(RISK_REGISTER!J:J,ROW()-16),"")</f>
        <v>REVIEW</v>
      </c>
    </row>
    <row r="24" spans="1:6" ht="15.5" x14ac:dyDescent="0.35">
      <c r="A24" s="44" t="str" cm="1">
        <f t="array" ref="A24">IFERROR(INDEX(RISK_REGISTER!B:B,ROW()-16),"")</f>
        <v>BATCH-2026-017</v>
      </c>
      <c r="B24" s="42" cm="1">
        <f t="array" ref="B24">IFERROR(INDEX(RISK_REGISTER!D:D,ROW()-16),"")</f>
        <v>42.58</v>
      </c>
      <c r="C24" s="18" cm="1">
        <f t="array" ref="C24">IFERROR(INDEX(RISK_REGISTER!E:E,ROW()-16),"")</f>
        <v>0.48559999999999998</v>
      </c>
      <c r="D24" s="32" t="str" cm="1">
        <f t="array" ref="D24">IFERROR(INDEX(RISK_REGISTER!I:I,ROW()-16),"")</f>
        <v>SCHEDULE REVIEW: Risk 42.6. Confidence 0.49. QA approval required.</v>
      </c>
      <c r="E24" s="18" t="str" cm="1">
        <f t="array" ref="E24">IFERROR(INDEX(RISK_REGISTER!F:F,ROW()-16),"")</f>
        <v>Equipment_Age=4184hrs (60.1%)</v>
      </c>
      <c r="F24" s="18" t="str" cm="1">
        <f t="array" ref="F24">IFERROR(INDEX(RISK_REGISTER!J:J,ROW()-16),"")</f>
        <v>REVIEW</v>
      </c>
    </row>
    <row r="25" spans="1:6" ht="15.5" x14ac:dyDescent="0.35">
      <c r="A25" s="44" t="str" cm="1">
        <f t="array" ref="A25">IFERROR(INDEX(RISK_REGISTER!B:B,ROW()-16),"")</f>
        <v>BATCH-2026-003</v>
      </c>
      <c r="B25" s="42" cm="1">
        <f t="array" ref="B25">IFERROR(INDEX(RISK_REGISTER!D:D,ROW()-16),"")</f>
        <v>40.28</v>
      </c>
      <c r="C25" s="18" cm="1">
        <f t="array" ref="C25">IFERROR(INDEX(RISK_REGISTER!E:E,ROW()-16),"")</f>
        <v>0.8024</v>
      </c>
      <c r="D25" s="32" t="str" cm="1">
        <f t="array" ref="D25">IFERROR(INDEX(RISK_REGISTER!I:I,ROW()-16),"")</f>
        <v>APPROVED: Risk acceptable (40.3). Proceed with batch processing.</v>
      </c>
      <c r="E25" s="18" t="str" cm="1">
        <f t="array" ref="E25">IFERROR(INDEX(RISK_REGISTER!F:F,ROW()-16),"")</f>
        <v>External_Market=0.79 (79.0%)</v>
      </c>
      <c r="F25" s="18" t="str" cm="1">
        <f t="array" ref="F25">IFERROR(INDEX(RISK_REGISTER!J:J,ROW()-16),"")</f>
        <v>PASS</v>
      </c>
    </row>
    <row r="31" spans="1:6" ht="15" thickBot="1" x14ac:dyDescent="0.4"/>
    <row r="32" spans="1:6" ht="16.5" x14ac:dyDescent="0.45">
      <c r="A32" s="34" t="s">
        <v>253</v>
      </c>
      <c r="B32" s="34" t="s">
        <v>258</v>
      </c>
      <c r="C32" s="34" t="s">
        <v>261</v>
      </c>
    </row>
    <row r="33" spans="1:3" ht="26.5" x14ac:dyDescent="0.7">
      <c r="A33" s="35">
        <v>23.4</v>
      </c>
      <c r="B33" s="52">
        <v>0.78900000000000003</v>
      </c>
      <c r="C33" s="39" t="s">
        <v>262</v>
      </c>
    </row>
    <row r="34" spans="1:3" ht="16.5" x14ac:dyDescent="0.45">
      <c r="A34" s="36" t="s">
        <v>254</v>
      </c>
      <c r="B34" s="36" t="s">
        <v>625</v>
      </c>
      <c r="C34" s="36"/>
    </row>
    <row r="35" spans="1:3" ht="16.5" x14ac:dyDescent="0.45">
      <c r="A35" s="36" t="s">
        <v>255</v>
      </c>
      <c r="B35" s="36" t="s">
        <v>259</v>
      </c>
      <c r="C35" s="36"/>
    </row>
    <row r="36" spans="1:3" ht="16.5" x14ac:dyDescent="0.45">
      <c r="A36" s="36" t="s">
        <v>256</v>
      </c>
      <c r="B36" s="36" t="s">
        <v>260</v>
      </c>
      <c r="C36" s="36" t="s">
        <v>263</v>
      </c>
    </row>
    <row r="37" spans="1:3" ht="17" thickBot="1" x14ac:dyDescent="0.5">
      <c r="A37" s="37" t="s">
        <v>257</v>
      </c>
      <c r="B37" s="37" t="s">
        <v>626</v>
      </c>
      <c r="C37" s="37" t="s">
        <v>264</v>
      </c>
    </row>
    <row r="38" spans="1:3" ht="15" thickBot="1" x14ac:dyDescent="0.4"/>
    <row r="39" spans="1:3" ht="16.5" x14ac:dyDescent="0.45">
      <c r="A39" s="34" t="s">
        <v>265</v>
      </c>
      <c r="B39" s="34" t="s">
        <v>270</v>
      </c>
      <c r="C39" s="34" t="s">
        <v>275</v>
      </c>
    </row>
    <row r="40" spans="1:3" ht="26" x14ac:dyDescent="0.65">
      <c r="A40" s="38">
        <v>0.12</v>
      </c>
      <c r="B40" s="52">
        <v>0.22700000000000001</v>
      </c>
      <c r="C40" s="40" t="s">
        <v>888</v>
      </c>
    </row>
    <row r="41" spans="1:3" ht="16.5" x14ac:dyDescent="0.45">
      <c r="A41" s="36" t="s">
        <v>266</v>
      </c>
      <c r="B41" s="36" t="s">
        <v>271</v>
      </c>
      <c r="C41" s="36" t="s">
        <v>889</v>
      </c>
    </row>
    <row r="42" spans="1:3" ht="16.5" x14ac:dyDescent="0.45">
      <c r="A42" s="36" t="s">
        <v>267</v>
      </c>
      <c r="B42" s="36" t="s">
        <v>272</v>
      </c>
      <c r="C42" s="36" t="s">
        <v>627</v>
      </c>
    </row>
    <row r="43" spans="1:3" ht="16.5" x14ac:dyDescent="0.45">
      <c r="A43" s="36" t="s">
        <v>268</v>
      </c>
      <c r="B43" s="36" t="s">
        <v>273</v>
      </c>
      <c r="C43" s="36" t="s">
        <v>276</v>
      </c>
    </row>
    <row r="44" spans="1:3" ht="17" thickBot="1" x14ac:dyDescent="0.5">
      <c r="A44" s="37" t="s">
        <v>269</v>
      </c>
      <c r="B44" s="37" t="s">
        <v>274</v>
      </c>
      <c r="C44" s="37" t="s">
        <v>890</v>
      </c>
    </row>
    <row r="45" spans="1:3" ht="15" thickBot="1" x14ac:dyDescent="0.4"/>
    <row r="46" spans="1:3" ht="16.5" x14ac:dyDescent="0.45">
      <c r="A46" s="34" t="s">
        <v>277</v>
      </c>
      <c r="B46" s="34" t="s">
        <v>282</v>
      </c>
      <c r="C46" s="34" t="s">
        <v>285</v>
      </c>
    </row>
    <row r="47" spans="1:3" ht="26" x14ac:dyDescent="0.65">
      <c r="A47" s="38">
        <v>0</v>
      </c>
      <c r="B47" s="38">
        <v>0.59899999999999998</v>
      </c>
      <c r="C47" s="41" t="s">
        <v>630</v>
      </c>
    </row>
    <row r="48" spans="1:3" ht="16.5" x14ac:dyDescent="0.45">
      <c r="A48" s="36" t="s">
        <v>278</v>
      </c>
      <c r="B48" s="36" t="s">
        <v>628</v>
      </c>
      <c r="C48" s="36" t="s">
        <v>891</v>
      </c>
    </row>
    <row r="49" spans="1:3" ht="16.5" x14ac:dyDescent="0.45">
      <c r="A49" s="36" t="s">
        <v>279</v>
      </c>
      <c r="B49" s="36" t="s">
        <v>283</v>
      </c>
      <c r="C49" s="36" t="s">
        <v>631</v>
      </c>
    </row>
    <row r="50" spans="1:3" ht="16.5" x14ac:dyDescent="0.45">
      <c r="A50" s="36" t="s">
        <v>280</v>
      </c>
      <c r="B50" s="36" t="s">
        <v>629</v>
      </c>
      <c r="C50" s="36" t="s">
        <v>286</v>
      </c>
    </row>
    <row r="51" spans="1:3" ht="17" thickBot="1" x14ac:dyDescent="0.5">
      <c r="A51" s="37" t="s">
        <v>281</v>
      </c>
      <c r="B51" s="37" t="s">
        <v>284</v>
      </c>
      <c r="C51" s="37" t="s">
        <v>287</v>
      </c>
    </row>
    <row r="52" spans="1:3" ht="15" thickBot="1" x14ac:dyDescent="0.4"/>
    <row r="53" spans="1:3" ht="16.5" x14ac:dyDescent="0.45">
      <c r="A53" s="34" t="s">
        <v>288</v>
      </c>
      <c r="B53" s="34" t="s">
        <v>290</v>
      </c>
      <c r="C53" s="34" t="s">
        <v>292</v>
      </c>
    </row>
    <row r="54" spans="1:3" ht="16.5" x14ac:dyDescent="0.45">
      <c r="A54" s="36" t="s">
        <v>632</v>
      </c>
      <c r="B54" s="36" t="s">
        <v>892</v>
      </c>
      <c r="C54" s="36" t="s">
        <v>293</v>
      </c>
    </row>
    <row r="55" spans="1:3" ht="16.5" x14ac:dyDescent="0.45">
      <c r="A55" s="36" t="s">
        <v>633</v>
      </c>
      <c r="B55" s="36" t="s">
        <v>893</v>
      </c>
      <c r="C55" s="36" t="s">
        <v>895</v>
      </c>
    </row>
    <row r="56" spans="1:3" ht="16.5" x14ac:dyDescent="0.45">
      <c r="A56" s="36" t="s">
        <v>634</v>
      </c>
      <c r="B56" s="36" t="s">
        <v>894</v>
      </c>
      <c r="C56" s="36" t="s">
        <v>637</v>
      </c>
    </row>
    <row r="57" spans="1:3" ht="16.5" x14ac:dyDescent="0.45">
      <c r="A57" s="36" t="s">
        <v>635</v>
      </c>
      <c r="B57" s="36" t="s">
        <v>636</v>
      </c>
      <c r="C57" s="36" t="s">
        <v>638</v>
      </c>
    </row>
    <row r="58" spans="1:3" ht="17" thickBot="1" x14ac:dyDescent="0.5">
      <c r="A58" s="37" t="s">
        <v>289</v>
      </c>
      <c r="B58" s="37" t="s">
        <v>291</v>
      </c>
      <c r="C58" s="37" t="s">
        <v>294</v>
      </c>
    </row>
  </sheetData>
  <sheetProtection selectLockedCells="1" selectUnlockedCells="1"/>
  <mergeCells count="1">
    <mergeCell ref="A1:E1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91517-8255-48E2-93BC-3D37BF8B9D3A}">
  <sheetPr codeName="Sheet10"/>
  <dimension ref="A1:B15"/>
  <sheetViews>
    <sheetView workbookViewId="0">
      <selection activeCell="A15" sqref="A15:B15"/>
    </sheetView>
  </sheetViews>
  <sheetFormatPr defaultRowHeight="14.5" x14ac:dyDescent="0.35"/>
  <cols>
    <col min="1" max="1" width="41.81640625" customWidth="1"/>
    <col min="2" max="2" width="46.36328125" customWidth="1"/>
  </cols>
  <sheetData>
    <row r="1" spans="1:2" ht="18.5" x14ac:dyDescent="0.45">
      <c r="A1" s="74" t="s">
        <v>782</v>
      </c>
      <c r="B1" s="74"/>
    </row>
    <row r="2" spans="1:2" x14ac:dyDescent="0.35">
      <c r="A2" s="45" t="s">
        <v>783</v>
      </c>
      <c r="B2" s="46"/>
    </row>
    <row r="3" spans="1:2" x14ac:dyDescent="0.35">
      <c r="A3" s="45" t="s">
        <v>16</v>
      </c>
      <c r="B3" s="46"/>
    </row>
    <row r="4" spans="1:2" x14ac:dyDescent="0.35">
      <c r="A4" s="45" t="s">
        <v>784</v>
      </c>
      <c r="B4" s="46"/>
    </row>
    <row r="5" spans="1:2" x14ac:dyDescent="0.35">
      <c r="A5" s="45" t="s">
        <v>296</v>
      </c>
      <c r="B5" s="46"/>
    </row>
    <row r="6" spans="1:2" x14ac:dyDescent="0.35">
      <c r="A6" s="45" t="s">
        <v>785</v>
      </c>
      <c r="B6" s="46"/>
    </row>
    <row r="7" spans="1:2" x14ac:dyDescent="0.35">
      <c r="A7" s="45" t="s">
        <v>786</v>
      </c>
      <c r="B7" s="46"/>
    </row>
    <row r="8" spans="1:2" x14ac:dyDescent="0.35">
      <c r="A8" s="45" t="s">
        <v>787</v>
      </c>
      <c r="B8" s="46"/>
    </row>
    <row r="9" spans="1:2" x14ac:dyDescent="0.35">
      <c r="A9" s="45" t="s">
        <v>297</v>
      </c>
      <c r="B9" s="46"/>
    </row>
    <row r="10" spans="1:2" x14ac:dyDescent="0.35">
      <c r="A10" s="45" t="s">
        <v>788</v>
      </c>
      <c r="B10" s="46"/>
    </row>
    <row r="11" spans="1:2" x14ac:dyDescent="0.35">
      <c r="A11" s="45" t="s">
        <v>789</v>
      </c>
      <c r="B11" s="46"/>
    </row>
    <row r="12" spans="1:2" x14ac:dyDescent="0.35">
      <c r="A12" s="45" t="s">
        <v>790</v>
      </c>
      <c r="B12" s="46"/>
    </row>
    <row r="13" spans="1:2" x14ac:dyDescent="0.35">
      <c r="A13" s="45" t="s">
        <v>791</v>
      </c>
      <c r="B13" s="46"/>
    </row>
    <row r="15" spans="1:2" ht="15.5" x14ac:dyDescent="0.35">
      <c r="A15" s="75" t="s">
        <v>298</v>
      </c>
      <c r="B15" s="75"/>
    </row>
  </sheetData>
  <mergeCells count="2">
    <mergeCell ref="A1:B1"/>
    <mergeCell ref="A15:B15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02E31-D52F-4293-AFEB-040C1488704C}">
  <sheetPr codeName="Sheet5"/>
  <dimension ref="A1:N51"/>
  <sheetViews>
    <sheetView zoomScale="41" workbookViewId="0">
      <pane xSplit="3" ySplit="1" topLeftCell="D2" activePane="bottomRight" state="frozen"/>
      <selection pane="topRight" activeCell="B1" sqref="B1"/>
      <selection pane="bottomLeft" activeCell="A2" sqref="A2"/>
      <selection pane="bottomRight" activeCell="Z5" sqref="Z5"/>
    </sheetView>
  </sheetViews>
  <sheetFormatPr defaultRowHeight="14.5" x14ac:dyDescent="0.35"/>
  <cols>
    <col min="1" max="1" width="15.1796875" bestFit="1" customWidth="1"/>
    <col min="2" max="2" width="14.81640625" bestFit="1" customWidth="1"/>
    <col min="3" max="3" width="13.1796875" customWidth="1"/>
    <col min="4" max="4" width="10.81640625" bestFit="1" customWidth="1"/>
    <col min="5" max="5" width="11.54296875" bestFit="1" customWidth="1"/>
    <col min="6" max="8" width="28.90625" bestFit="1" customWidth="1"/>
    <col min="9" max="9" width="59.7265625" bestFit="1" customWidth="1"/>
    <col min="10" max="10" width="23.7265625" customWidth="1"/>
    <col min="11" max="11" width="25.6328125" customWidth="1"/>
    <col min="12" max="12" width="13.36328125" bestFit="1" customWidth="1"/>
    <col min="13" max="13" width="17.6328125" customWidth="1"/>
    <col min="14" max="14" width="26.08984375" customWidth="1"/>
  </cols>
  <sheetData>
    <row r="1" spans="1:14" ht="16.5" x14ac:dyDescent="0.45">
      <c r="A1" s="47" t="s">
        <v>229</v>
      </c>
      <c r="B1" s="47" t="s">
        <v>230</v>
      </c>
      <c r="C1" s="47" t="s">
        <v>231</v>
      </c>
      <c r="D1" s="47" t="s">
        <v>232</v>
      </c>
      <c r="E1" s="47" t="s">
        <v>10</v>
      </c>
      <c r="F1" s="47" t="s">
        <v>233</v>
      </c>
      <c r="G1" s="47" t="s">
        <v>234</v>
      </c>
      <c r="H1" s="47" t="s">
        <v>235</v>
      </c>
      <c r="I1" s="47" t="s">
        <v>11</v>
      </c>
      <c r="J1" s="47" t="s">
        <v>13</v>
      </c>
      <c r="K1" s="47" t="s">
        <v>236</v>
      </c>
      <c r="L1" s="47" t="s">
        <v>237</v>
      </c>
      <c r="M1" s="47" t="s">
        <v>623</v>
      </c>
      <c r="N1" s="47" t="s">
        <v>624</v>
      </c>
    </row>
    <row r="2" spans="1:14" x14ac:dyDescent="0.35">
      <c r="A2" s="20">
        <v>46038.874652777777</v>
      </c>
      <c r="B2" t="s">
        <v>314</v>
      </c>
      <c r="C2" t="s">
        <v>471</v>
      </c>
      <c r="D2">
        <v>48.56</v>
      </c>
      <c r="E2">
        <v>0.48549999999999999</v>
      </c>
      <c r="F2" t="s">
        <v>666</v>
      </c>
      <c r="G2" t="s">
        <v>667</v>
      </c>
      <c r="H2" t="s">
        <v>564</v>
      </c>
      <c r="I2" t="s">
        <v>565</v>
      </c>
      <c r="J2" t="s">
        <v>21</v>
      </c>
      <c r="L2" t="s">
        <v>129</v>
      </c>
      <c r="M2" t="s">
        <v>728</v>
      </c>
      <c r="N2" t="s">
        <v>101</v>
      </c>
    </row>
    <row r="3" spans="1:14" x14ac:dyDescent="0.35">
      <c r="A3" s="20">
        <v>46038.874652777777</v>
      </c>
      <c r="B3" t="s">
        <v>348</v>
      </c>
      <c r="C3" t="s">
        <v>429</v>
      </c>
      <c r="D3">
        <v>47.18</v>
      </c>
      <c r="E3">
        <v>0.53710000000000002</v>
      </c>
      <c r="F3" t="s">
        <v>724</v>
      </c>
      <c r="G3" t="s">
        <v>617</v>
      </c>
      <c r="H3" t="s">
        <v>725</v>
      </c>
      <c r="I3" t="s">
        <v>618</v>
      </c>
      <c r="J3" t="s">
        <v>21</v>
      </c>
      <c r="L3" t="s">
        <v>129</v>
      </c>
      <c r="M3" t="s">
        <v>729</v>
      </c>
      <c r="N3" t="s">
        <v>143</v>
      </c>
    </row>
    <row r="4" spans="1:14" x14ac:dyDescent="0.35">
      <c r="A4" s="20">
        <v>46038.874652777777</v>
      </c>
      <c r="B4" t="s">
        <v>341</v>
      </c>
      <c r="C4" t="s">
        <v>304</v>
      </c>
      <c r="D4">
        <v>47.07</v>
      </c>
      <c r="E4">
        <v>0.56030000000000002</v>
      </c>
      <c r="F4" t="s">
        <v>712</v>
      </c>
      <c r="G4" t="s">
        <v>713</v>
      </c>
      <c r="H4" t="s">
        <v>605</v>
      </c>
      <c r="I4" t="s">
        <v>606</v>
      </c>
      <c r="J4" t="s">
        <v>21</v>
      </c>
      <c r="L4" t="s">
        <v>129</v>
      </c>
      <c r="M4" t="s">
        <v>730</v>
      </c>
      <c r="N4" t="s">
        <v>144</v>
      </c>
    </row>
    <row r="5" spans="1:14" x14ac:dyDescent="0.35">
      <c r="A5" s="20">
        <v>46038.874652777777</v>
      </c>
      <c r="B5" t="s">
        <v>18</v>
      </c>
      <c r="C5" t="s">
        <v>299</v>
      </c>
      <c r="D5">
        <v>45.52</v>
      </c>
      <c r="E5">
        <v>0.6845</v>
      </c>
      <c r="F5" t="s">
        <v>639</v>
      </c>
      <c r="G5" t="s">
        <v>540</v>
      </c>
      <c r="H5" t="s">
        <v>640</v>
      </c>
      <c r="I5" t="s">
        <v>541</v>
      </c>
      <c r="J5" t="s">
        <v>21</v>
      </c>
      <c r="L5" t="s">
        <v>129</v>
      </c>
      <c r="M5" t="s">
        <v>731</v>
      </c>
      <c r="N5" t="s">
        <v>145</v>
      </c>
    </row>
    <row r="6" spans="1:14" x14ac:dyDescent="0.35">
      <c r="A6" s="20">
        <v>46038.874652777777</v>
      </c>
      <c r="B6" t="s">
        <v>181</v>
      </c>
      <c r="C6" t="s">
        <v>408</v>
      </c>
      <c r="D6">
        <v>44.62</v>
      </c>
      <c r="E6">
        <v>0.54710000000000003</v>
      </c>
      <c r="F6" t="s">
        <v>649</v>
      </c>
      <c r="G6" t="s">
        <v>650</v>
      </c>
      <c r="H6" t="s">
        <v>549</v>
      </c>
      <c r="I6" t="s">
        <v>550</v>
      </c>
      <c r="J6" t="s">
        <v>21</v>
      </c>
      <c r="L6" t="s">
        <v>129</v>
      </c>
      <c r="M6" t="s">
        <v>732</v>
      </c>
      <c r="N6" t="s">
        <v>146</v>
      </c>
    </row>
    <row r="7" spans="1:14" x14ac:dyDescent="0.35">
      <c r="A7" s="20">
        <v>46038.874652777777</v>
      </c>
      <c r="B7" t="s">
        <v>312</v>
      </c>
      <c r="C7" t="s">
        <v>457</v>
      </c>
      <c r="D7">
        <v>44.24</v>
      </c>
      <c r="E7">
        <v>0.51700000000000002</v>
      </c>
      <c r="F7" t="s">
        <v>662</v>
      </c>
      <c r="G7" t="s">
        <v>663</v>
      </c>
      <c r="H7" t="s">
        <v>560</v>
      </c>
      <c r="I7" t="s">
        <v>561</v>
      </c>
      <c r="J7" t="s">
        <v>21</v>
      </c>
      <c r="L7" t="s">
        <v>129</v>
      </c>
      <c r="M7" t="s">
        <v>733</v>
      </c>
      <c r="N7" t="s">
        <v>147</v>
      </c>
    </row>
    <row r="8" spans="1:14" x14ac:dyDescent="0.35">
      <c r="A8" s="20">
        <v>46038.874652777777</v>
      </c>
      <c r="B8" t="s">
        <v>316</v>
      </c>
      <c r="C8" t="s">
        <v>485</v>
      </c>
      <c r="D8">
        <v>42.58</v>
      </c>
      <c r="E8">
        <v>0.48559999999999998</v>
      </c>
      <c r="F8" t="s">
        <v>567</v>
      </c>
      <c r="G8" t="s">
        <v>671</v>
      </c>
      <c r="H8" t="s">
        <v>672</v>
      </c>
      <c r="I8" t="s">
        <v>568</v>
      </c>
      <c r="J8" t="s">
        <v>21</v>
      </c>
      <c r="L8" t="s">
        <v>129</v>
      </c>
      <c r="M8" t="s">
        <v>734</v>
      </c>
      <c r="N8" t="s">
        <v>148</v>
      </c>
    </row>
    <row r="9" spans="1:14" x14ac:dyDescent="0.35">
      <c r="A9" s="20">
        <v>46038.874652777777</v>
      </c>
      <c r="B9" t="s">
        <v>178</v>
      </c>
      <c r="C9" t="s">
        <v>306</v>
      </c>
      <c r="D9">
        <v>40.28</v>
      </c>
      <c r="E9">
        <v>0.8024</v>
      </c>
      <c r="F9" t="s">
        <v>643</v>
      </c>
      <c r="G9" t="s">
        <v>544</v>
      </c>
      <c r="H9" t="s">
        <v>644</v>
      </c>
      <c r="I9" t="s">
        <v>645</v>
      </c>
      <c r="J9" t="s">
        <v>20</v>
      </c>
      <c r="L9" t="s">
        <v>129</v>
      </c>
      <c r="M9" t="s">
        <v>735</v>
      </c>
      <c r="N9" t="s">
        <v>149</v>
      </c>
    </row>
    <row r="10" spans="1:14" x14ac:dyDescent="0.35">
      <c r="A10" s="20">
        <v>46038.874652777777</v>
      </c>
      <c r="B10" t="s">
        <v>342</v>
      </c>
      <c r="C10" t="s">
        <v>306</v>
      </c>
      <c r="D10">
        <v>40.28</v>
      </c>
      <c r="E10">
        <v>0.50839999999999996</v>
      </c>
      <c r="F10" t="s">
        <v>607</v>
      </c>
      <c r="G10" t="s">
        <v>714</v>
      </c>
      <c r="H10" t="s">
        <v>715</v>
      </c>
      <c r="I10" t="s">
        <v>608</v>
      </c>
      <c r="J10" t="s">
        <v>21</v>
      </c>
      <c r="L10" t="s">
        <v>129</v>
      </c>
      <c r="M10" t="s">
        <v>736</v>
      </c>
      <c r="N10" t="s">
        <v>150</v>
      </c>
    </row>
    <row r="11" spans="1:14" x14ac:dyDescent="0.35">
      <c r="A11" s="20">
        <v>46038.874652777777</v>
      </c>
      <c r="B11" t="s">
        <v>322</v>
      </c>
      <c r="C11" t="s">
        <v>306</v>
      </c>
      <c r="D11">
        <v>40.07</v>
      </c>
      <c r="E11">
        <v>0.73450000000000004</v>
      </c>
      <c r="F11" t="s">
        <v>678</v>
      </c>
      <c r="G11" t="s">
        <v>681</v>
      </c>
      <c r="H11" t="s">
        <v>577</v>
      </c>
      <c r="I11" t="s">
        <v>578</v>
      </c>
      <c r="J11" t="s">
        <v>21</v>
      </c>
      <c r="L11" t="s">
        <v>129</v>
      </c>
      <c r="M11" t="s">
        <v>737</v>
      </c>
      <c r="N11" t="s">
        <v>151</v>
      </c>
    </row>
    <row r="12" spans="1:14" x14ac:dyDescent="0.35">
      <c r="A12" s="20">
        <v>46038.874652777777</v>
      </c>
      <c r="B12" t="s">
        <v>330</v>
      </c>
      <c r="C12" t="s">
        <v>443</v>
      </c>
      <c r="D12">
        <v>38.32</v>
      </c>
      <c r="E12">
        <v>0.72819999999999996</v>
      </c>
      <c r="F12" t="s">
        <v>591</v>
      </c>
      <c r="G12" t="s">
        <v>692</v>
      </c>
      <c r="H12" t="s">
        <v>693</v>
      </c>
      <c r="I12" t="s">
        <v>592</v>
      </c>
      <c r="J12" t="s">
        <v>21</v>
      </c>
      <c r="L12" t="s">
        <v>129</v>
      </c>
      <c r="M12" t="s">
        <v>738</v>
      </c>
      <c r="N12" t="s">
        <v>152</v>
      </c>
    </row>
    <row r="13" spans="1:14" x14ac:dyDescent="0.35">
      <c r="A13" s="20">
        <v>46038.874652777777</v>
      </c>
      <c r="B13" t="s">
        <v>340</v>
      </c>
      <c r="C13" t="s">
        <v>299</v>
      </c>
      <c r="D13">
        <v>37.630000000000003</v>
      </c>
      <c r="E13">
        <v>0.55989999999999995</v>
      </c>
      <c r="F13" t="s">
        <v>710</v>
      </c>
      <c r="G13" t="s">
        <v>711</v>
      </c>
      <c r="H13" t="s">
        <v>603</v>
      </c>
      <c r="I13" t="s">
        <v>604</v>
      </c>
      <c r="J13" t="s">
        <v>21</v>
      </c>
      <c r="L13" t="s">
        <v>129</v>
      </c>
      <c r="M13" t="s">
        <v>739</v>
      </c>
      <c r="N13" t="s">
        <v>153</v>
      </c>
    </row>
    <row r="14" spans="1:14" x14ac:dyDescent="0.35">
      <c r="A14" s="20">
        <v>46038.874652777777</v>
      </c>
      <c r="B14" t="s">
        <v>321</v>
      </c>
      <c r="C14" t="s">
        <v>304</v>
      </c>
      <c r="D14">
        <v>36.49</v>
      </c>
      <c r="E14">
        <v>0.47949999999999998</v>
      </c>
      <c r="F14" t="s">
        <v>575</v>
      </c>
      <c r="G14" t="s">
        <v>680</v>
      </c>
      <c r="H14" t="s">
        <v>521</v>
      </c>
      <c r="I14" t="s">
        <v>576</v>
      </c>
      <c r="J14" t="s">
        <v>21</v>
      </c>
      <c r="L14" t="s">
        <v>129</v>
      </c>
      <c r="M14" t="s">
        <v>740</v>
      </c>
      <c r="N14" t="s">
        <v>741</v>
      </c>
    </row>
    <row r="15" spans="1:14" x14ac:dyDescent="0.35">
      <c r="A15" s="20">
        <v>46038.874652777777</v>
      </c>
      <c r="B15" t="s">
        <v>335</v>
      </c>
      <c r="C15" t="s">
        <v>478</v>
      </c>
      <c r="D15">
        <v>36.44</v>
      </c>
      <c r="E15">
        <v>0.52229999999999999</v>
      </c>
      <c r="F15" t="s">
        <v>597</v>
      </c>
      <c r="G15" t="s">
        <v>701</v>
      </c>
      <c r="H15" t="s">
        <v>702</v>
      </c>
      <c r="I15" t="s">
        <v>598</v>
      </c>
      <c r="J15" t="s">
        <v>21</v>
      </c>
      <c r="L15" t="s">
        <v>129</v>
      </c>
      <c r="M15" t="s">
        <v>742</v>
      </c>
      <c r="N15" t="s">
        <v>743</v>
      </c>
    </row>
    <row r="16" spans="1:14" x14ac:dyDescent="0.35">
      <c r="A16" s="20">
        <v>46038.874652777777</v>
      </c>
      <c r="B16" t="s">
        <v>325</v>
      </c>
      <c r="C16" t="s">
        <v>408</v>
      </c>
      <c r="D16">
        <v>36.159999999999997</v>
      </c>
      <c r="E16">
        <v>0.54779999999999995</v>
      </c>
      <c r="F16" t="s">
        <v>682</v>
      </c>
      <c r="G16" t="s">
        <v>683</v>
      </c>
      <c r="H16" t="s">
        <v>583</v>
      </c>
      <c r="I16" t="s">
        <v>584</v>
      </c>
      <c r="J16" t="s">
        <v>21</v>
      </c>
      <c r="L16" t="s">
        <v>129</v>
      </c>
      <c r="M16" t="s">
        <v>744</v>
      </c>
      <c r="N16" t="s">
        <v>745</v>
      </c>
    </row>
    <row r="17" spans="1:14" x14ac:dyDescent="0.35">
      <c r="A17" s="20">
        <v>46038.874652777777</v>
      </c>
      <c r="B17" t="s">
        <v>323</v>
      </c>
      <c r="C17" t="s">
        <v>307</v>
      </c>
      <c r="D17">
        <v>36.08</v>
      </c>
      <c r="E17">
        <v>0.53610000000000002</v>
      </c>
      <c r="F17" t="s">
        <v>579</v>
      </c>
      <c r="G17" t="s">
        <v>660</v>
      </c>
      <c r="H17" t="s">
        <v>661</v>
      </c>
      <c r="I17" t="s">
        <v>580</v>
      </c>
      <c r="J17" t="s">
        <v>21</v>
      </c>
      <c r="L17" t="s">
        <v>129</v>
      </c>
      <c r="M17" t="s">
        <v>746</v>
      </c>
      <c r="N17" t="s">
        <v>101</v>
      </c>
    </row>
    <row r="18" spans="1:14" x14ac:dyDescent="0.35">
      <c r="A18" s="20">
        <v>46038.874652777777</v>
      </c>
      <c r="B18" t="s">
        <v>177</v>
      </c>
      <c r="C18" t="s">
        <v>304</v>
      </c>
      <c r="D18">
        <v>34.909999999999997</v>
      </c>
      <c r="E18">
        <v>0.59819999999999995</v>
      </c>
      <c r="F18" t="s">
        <v>641</v>
      </c>
      <c r="G18" t="s">
        <v>642</v>
      </c>
      <c r="H18" t="s">
        <v>542</v>
      </c>
      <c r="I18" t="s">
        <v>543</v>
      </c>
      <c r="J18" t="s">
        <v>21</v>
      </c>
      <c r="L18" t="s">
        <v>129</v>
      </c>
      <c r="M18" t="s">
        <v>747</v>
      </c>
      <c r="N18" t="s">
        <v>143</v>
      </c>
    </row>
    <row r="19" spans="1:14" x14ac:dyDescent="0.35">
      <c r="A19" s="20">
        <v>46038.874652777777</v>
      </c>
      <c r="B19" t="s">
        <v>320</v>
      </c>
      <c r="C19" t="s">
        <v>299</v>
      </c>
      <c r="D19">
        <v>34.86</v>
      </c>
      <c r="E19">
        <v>0.66249999999999998</v>
      </c>
      <c r="F19" t="s">
        <v>678</v>
      </c>
      <c r="G19" t="s">
        <v>679</v>
      </c>
      <c r="H19" t="s">
        <v>520</v>
      </c>
      <c r="I19" t="s">
        <v>574</v>
      </c>
      <c r="J19" t="s">
        <v>21</v>
      </c>
      <c r="L19" t="s">
        <v>129</v>
      </c>
      <c r="M19" t="s">
        <v>748</v>
      </c>
      <c r="N19" t="s">
        <v>144</v>
      </c>
    </row>
    <row r="20" spans="1:14" x14ac:dyDescent="0.35">
      <c r="A20" s="20">
        <v>46038.874652777777</v>
      </c>
      <c r="B20" t="s">
        <v>333</v>
      </c>
      <c r="C20" t="s">
        <v>464</v>
      </c>
      <c r="D20">
        <v>34.15</v>
      </c>
      <c r="E20">
        <v>0.77139999999999997</v>
      </c>
      <c r="F20" t="s">
        <v>698</v>
      </c>
      <c r="G20" t="s">
        <v>594</v>
      </c>
      <c r="H20" t="s">
        <v>664</v>
      </c>
      <c r="I20" t="s">
        <v>699</v>
      </c>
      <c r="J20" t="s">
        <v>20</v>
      </c>
      <c r="L20" t="s">
        <v>129</v>
      </c>
      <c r="M20" t="s">
        <v>749</v>
      </c>
      <c r="N20" t="s">
        <v>145</v>
      </c>
    </row>
    <row r="21" spans="1:14" x14ac:dyDescent="0.35">
      <c r="A21" s="20">
        <v>46038.874652777777</v>
      </c>
      <c r="B21" t="s">
        <v>310</v>
      </c>
      <c r="C21" t="s">
        <v>443</v>
      </c>
      <c r="D21">
        <v>33.270000000000003</v>
      </c>
      <c r="E21">
        <v>0.62849999999999995</v>
      </c>
      <c r="F21" t="s">
        <v>658</v>
      </c>
      <c r="G21" t="s">
        <v>659</v>
      </c>
      <c r="H21" t="s">
        <v>517</v>
      </c>
      <c r="I21" t="s">
        <v>557</v>
      </c>
      <c r="J21" t="s">
        <v>21</v>
      </c>
      <c r="L21" t="s">
        <v>129</v>
      </c>
      <c r="M21" t="s">
        <v>750</v>
      </c>
      <c r="N21" t="s">
        <v>146</v>
      </c>
    </row>
    <row r="22" spans="1:14" x14ac:dyDescent="0.35">
      <c r="A22" s="20">
        <v>46038.874652777777</v>
      </c>
      <c r="B22" t="s">
        <v>334</v>
      </c>
      <c r="C22" t="s">
        <v>471</v>
      </c>
      <c r="D22">
        <v>33.159999999999997</v>
      </c>
      <c r="E22">
        <v>0.50990000000000002</v>
      </c>
      <c r="F22" t="s">
        <v>595</v>
      </c>
      <c r="G22" t="s">
        <v>700</v>
      </c>
      <c r="H22" t="s">
        <v>525</v>
      </c>
      <c r="I22" t="s">
        <v>596</v>
      </c>
      <c r="J22" t="s">
        <v>21</v>
      </c>
      <c r="L22" t="s">
        <v>129</v>
      </c>
      <c r="M22" t="s">
        <v>751</v>
      </c>
      <c r="N22" t="s">
        <v>147</v>
      </c>
    </row>
    <row r="23" spans="1:14" x14ac:dyDescent="0.35">
      <c r="A23" s="20">
        <v>46038.874652777777</v>
      </c>
      <c r="B23" t="s">
        <v>317</v>
      </c>
      <c r="C23" t="s">
        <v>492</v>
      </c>
      <c r="D23">
        <v>32.799999999999997</v>
      </c>
      <c r="E23">
        <v>0.70940000000000003</v>
      </c>
      <c r="F23" t="s">
        <v>673</v>
      </c>
      <c r="G23" t="s">
        <v>569</v>
      </c>
      <c r="H23" t="s">
        <v>518</v>
      </c>
      <c r="I23" t="s">
        <v>570</v>
      </c>
      <c r="J23" t="s">
        <v>21</v>
      </c>
      <c r="L23" t="s">
        <v>129</v>
      </c>
      <c r="M23" t="s">
        <v>752</v>
      </c>
      <c r="N23" t="s">
        <v>148</v>
      </c>
    </row>
    <row r="24" spans="1:14" x14ac:dyDescent="0.35">
      <c r="A24" s="20">
        <v>46038.874652777777</v>
      </c>
      <c r="B24" t="s">
        <v>182</v>
      </c>
      <c r="C24" t="s">
        <v>415</v>
      </c>
      <c r="D24">
        <v>32.130000000000003</v>
      </c>
      <c r="E24">
        <v>0.84340000000000004</v>
      </c>
      <c r="F24" t="s">
        <v>651</v>
      </c>
      <c r="G24" t="s">
        <v>551</v>
      </c>
      <c r="H24" t="s">
        <v>652</v>
      </c>
      <c r="I24" t="s">
        <v>552</v>
      </c>
      <c r="J24" t="s">
        <v>21</v>
      </c>
      <c r="L24" t="s">
        <v>129</v>
      </c>
      <c r="M24" t="s">
        <v>753</v>
      </c>
      <c r="N24" t="s">
        <v>149</v>
      </c>
    </row>
    <row r="25" spans="1:14" x14ac:dyDescent="0.35">
      <c r="A25" s="20">
        <v>46038.874652777777</v>
      </c>
      <c r="B25" t="s">
        <v>336</v>
      </c>
      <c r="C25" t="s">
        <v>485</v>
      </c>
      <c r="D25">
        <v>32.090000000000003</v>
      </c>
      <c r="E25">
        <v>0.78520000000000001</v>
      </c>
      <c r="F25" t="s">
        <v>692</v>
      </c>
      <c r="G25" t="s">
        <v>599</v>
      </c>
      <c r="H25" t="s">
        <v>526</v>
      </c>
      <c r="I25" t="s">
        <v>703</v>
      </c>
      <c r="J25" t="s">
        <v>20</v>
      </c>
      <c r="L25" t="s">
        <v>129</v>
      </c>
      <c r="M25" t="s">
        <v>754</v>
      </c>
      <c r="N25" t="s">
        <v>150</v>
      </c>
    </row>
    <row r="26" spans="1:14" x14ac:dyDescent="0.35">
      <c r="A26" s="20">
        <v>46038.874652777777</v>
      </c>
      <c r="B26" t="s">
        <v>326</v>
      </c>
      <c r="C26" t="s">
        <v>415</v>
      </c>
      <c r="D26">
        <v>31.88</v>
      </c>
      <c r="E26">
        <v>0.67710000000000004</v>
      </c>
      <c r="F26" t="s">
        <v>684</v>
      </c>
      <c r="G26" t="s">
        <v>685</v>
      </c>
      <c r="H26" t="s">
        <v>585</v>
      </c>
      <c r="I26" t="s">
        <v>586</v>
      </c>
      <c r="J26" t="s">
        <v>21</v>
      </c>
      <c r="L26" t="s">
        <v>129</v>
      </c>
      <c r="M26" t="s">
        <v>755</v>
      </c>
      <c r="N26" t="s">
        <v>151</v>
      </c>
    </row>
    <row r="27" spans="1:14" x14ac:dyDescent="0.35">
      <c r="A27" s="20">
        <v>46038.874652777777</v>
      </c>
      <c r="B27" t="s">
        <v>180</v>
      </c>
      <c r="C27" t="s">
        <v>308</v>
      </c>
      <c r="D27">
        <v>31.17</v>
      </c>
      <c r="E27">
        <v>0.53120000000000001</v>
      </c>
      <c r="F27" t="s">
        <v>547</v>
      </c>
      <c r="G27" t="s">
        <v>648</v>
      </c>
      <c r="H27" t="s">
        <v>513</v>
      </c>
      <c r="I27" t="s">
        <v>548</v>
      </c>
      <c r="J27" t="s">
        <v>21</v>
      </c>
      <c r="L27" t="s">
        <v>129</v>
      </c>
      <c r="M27" t="s">
        <v>756</v>
      </c>
      <c r="N27" t="s">
        <v>152</v>
      </c>
    </row>
    <row r="28" spans="1:14" x14ac:dyDescent="0.35">
      <c r="A28" s="20">
        <v>46038.874652777777</v>
      </c>
      <c r="B28" t="s">
        <v>349</v>
      </c>
      <c r="C28" t="s">
        <v>436</v>
      </c>
      <c r="D28">
        <v>30.96</v>
      </c>
      <c r="E28">
        <v>0.73880000000000001</v>
      </c>
      <c r="F28" t="s">
        <v>619</v>
      </c>
      <c r="G28" t="s">
        <v>726</v>
      </c>
      <c r="H28" t="s">
        <v>531</v>
      </c>
      <c r="I28" t="s">
        <v>620</v>
      </c>
      <c r="J28" t="s">
        <v>21</v>
      </c>
      <c r="L28" t="s">
        <v>129</v>
      </c>
      <c r="M28" t="s">
        <v>757</v>
      </c>
      <c r="N28" t="s">
        <v>153</v>
      </c>
    </row>
    <row r="29" spans="1:14" x14ac:dyDescent="0.35">
      <c r="A29" s="20">
        <v>46038.874652777777</v>
      </c>
      <c r="B29" t="s">
        <v>319</v>
      </c>
      <c r="C29" t="s">
        <v>506</v>
      </c>
      <c r="D29">
        <v>30.83</v>
      </c>
      <c r="E29">
        <v>0.76659999999999995</v>
      </c>
      <c r="F29" t="s">
        <v>572</v>
      </c>
      <c r="G29" t="s">
        <v>676</v>
      </c>
      <c r="H29" t="s">
        <v>677</v>
      </c>
      <c r="I29" t="s">
        <v>573</v>
      </c>
      <c r="J29" t="s">
        <v>21</v>
      </c>
      <c r="L29" t="s">
        <v>129</v>
      </c>
      <c r="M29" t="s">
        <v>758</v>
      </c>
      <c r="N29" t="s">
        <v>741</v>
      </c>
    </row>
    <row r="30" spans="1:14" x14ac:dyDescent="0.35">
      <c r="A30" s="20">
        <v>46038.874652777777</v>
      </c>
      <c r="B30" t="s">
        <v>347</v>
      </c>
      <c r="C30" t="s">
        <v>422</v>
      </c>
      <c r="D30">
        <v>30.58</v>
      </c>
      <c r="E30">
        <v>0.76339999999999997</v>
      </c>
      <c r="F30" t="s">
        <v>616</v>
      </c>
      <c r="G30" t="s">
        <v>674</v>
      </c>
      <c r="H30" t="s">
        <v>722</v>
      </c>
      <c r="I30" t="s">
        <v>723</v>
      </c>
      <c r="J30" t="s">
        <v>20</v>
      </c>
      <c r="L30" t="s">
        <v>129</v>
      </c>
      <c r="M30" t="s">
        <v>759</v>
      </c>
      <c r="N30" t="s">
        <v>743</v>
      </c>
    </row>
    <row r="31" spans="1:14" x14ac:dyDescent="0.35">
      <c r="A31" s="20">
        <v>46038.874652777777</v>
      </c>
      <c r="B31" t="s">
        <v>345</v>
      </c>
      <c r="C31" t="s">
        <v>408</v>
      </c>
      <c r="D31">
        <v>30.42</v>
      </c>
      <c r="E31">
        <v>0.6472</v>
      </c>
      <c r="F31" t="s">
        <v>718</v>
      </c>
      <c r="G31" t="s">
        <v>612</v>
      </c>
      <c r="H31" t="s">
        <v>719</v>
      </c>
      <c r="I31" t="s">
        <v>613</v>
      </c>
      <c r="J31" t="s">
        <v>21</v>
      </c>
      <c r="L31" t="s">
        <v>129</v>
      </c>
      <c r="M31" t="s">
        <v>760</v>
      </c>
      <c r="N31" t="s">
        <v>745</v>
      </c>
    </row>
    <row r="32" spans="1:14" x14ac:dyDescent="0.35">
      <c r="A32" s="20">
        <v>46038.874652777777</v>
      </c>
      <c r="B32" t="s">
        <v>343</v>
      </c>
      <c r="C32" t="s">
        <v>307</v>
      </c>
      <c r="D32">
        <v>30.13</v>
      </c>
      <c r="E32">
        <v>0.76900000000000002</v>
      </c>
      <c r="F32" t="s">
        <v>609</v>
      </c>
      <c r="G32" t="s">
        <v>716</v>
      </c>
      <c r="H32" t="s">
        <v>529</v>
      </c>
      <c r="I32" t="s">
        <v>610</v>
      </c>
      <c r="J32" t="s">
        <v>21</v>
      </c>
      <c r="L32" t="s">
        <v>129</v>
      </c>
      <c r="M32" t="s">
        <v>761</v>
      </c>
      <c r="N32" t="s">
        <v>101</v>
      </c>
    </row>
    <row r="33" spans="1:14" x14ac:dyDescent="0.35">
      <c r="A33" s="20">
        <v>46038.874652777777</v>
      </c>
      <c r="B33" t="s">
        <v>315</v>
      </c>
      <c r="C33" t="s">
        <v>478</v>
      </c>
      <c r="D33">
        <v>30.08</v>
      </c>
      <c r="E33">
        <v>0.82179999999999997</v>
      </c>
      <c r="F33" t="s">
        <v>668</v>
      </c>
      <c r="G33" t="s">
        <v>566</v>
      </c>
      <c r="H33" t="s">
        <v>669</v>
      </c>
      <c r="I33" t="s">
        <v>670</v>
      </c>
      <c r="J33" t="s">
        <v>20</v>
      </c>
      <c r="L33" t="s">
        <v>129</v>
      </c>
      <c r="M33" t="s">
        <v>762</v>
      </c>
      <c r="N33" t="s">
        <v>143</v>
      </c>
    </row>
    <row r="34" spans="1:14" x14ac:dyDescent="0.35">
      <c r="A34" s="20">
        <v>46038.874652777777</v>
      </c>
      <c r="B34" t="s">
        <v>311</v>
      </c>
      <c r="C34" t="s">
        <v>450</v>
      </c>
      <c r="D34">
        <v>29.94</v>
      </c>
      <c r="E34">
        <v>0.64629999999999999</v>
      </c>
      <c r="F34" t="s">
        <v>558</v>
      </c>
      <c r="G34" t="s">
        <v>660</v>
      </c>
      <c r="H34" t="s">
        <v>661</v>
      </c>
      <c r="I34" t="s">
        <v>559</v>
      </c>
      <c r="J34" t="s">
        <v>21</v>
      </c>
      <c r="L34" t="s">
        <v>129</v>
      </c>
      <c r="M34" t="s">
        <v>763</v>
      </c>
      <c r="N34" t="s">
        <v>144</v>
      </c>
    </row>
    <row r="35" spans="1:14" x14ac:dyDescent="0.35">
      <c r="A35" s="20">
        <v>46038.874652777777</v>
      </c>
      <c r="B35" t="s">
        <v>324</v>
      </c>
      <c r="C35" t="s">
        <v>308</v>
      </c>
      <c r="D35">
        <v>29.89</v>
      </c>
      <c r="E35">
        <v>0.56779999999999997</v>
      </c>
      <c r="F35" t="s">
        <v>581</v>
      </c>
      <c r="G35" t="s">
        <v>648</v>
      </c>
      <c r="H35" t="s">
        <v>522</v>
      </c>
      <c r="I35" t="s">
        <v>582</v>
      </c>
      <c r="J35" t="s">
        <v>21</v>
      </c>
      <c r="L35" t="s">
        <v>129</v>
      </c>
      <c r="M35" t="s">
        <v>764</v>
      </c>
      <c r="N35" t="s">
        <v>145</v>
      </c>
    </row>
    <row r="36" spans="1:14" x14ac:dyDescent="0.35">
      <c r="A36" s="20">
        <v>46038.874652777777</v>
      </c>
      <c r="B36" t="s">
        <v>332</v>
      </c>
      <c r="C36" t="s">
        <v>457</v>
      </c>
      <c r="D36">
        <v>29.41</v>
      </c>
      <c r="E36">
        <v>0.8306</v>
      </c>
      <c r="F36" t="s">
        <v>593</v>
      </c>
      <c r="G36" t="s">
        <v>673</v>
      </c>
      <c r="H36" t="s">
        <v>696</v>
      </c>
      <c r="I36" t="s">
        <v>697</v>
      </c>
      <c r="J36" t="s">
        <v>20</v>
      </c>
      <c r="L36" t="s">
        <v>129</v>
      </c>
      <c r="M36" t="s">
        <v>765</v>
      </c>
      <c r="N36" t="s">
        <v>146</v>
      </c>
    </row>
    <row r="37" spans="1:14" x14ac:dyDescent="0.35">
      <c r="A37" s="20">
        <v>46038.874652777777</v>
      </c>
      <c r="B37" t="s">
        <v>313</v>
      </c>
      <c r="C37" t="s">
        <v>464</v>
      </c>
      <c r="D37">
        <v>29.07</v>
      </c>
      <c r="E37">
        <v>0.56479999999999997</v>
      </c>
      <c r="F37" t="s">
        <v>562</v>
      </c>
      <c r="G37" t="s">
        <v>664</v>
      </c>
      <c r="H37" t="s">
        <v>665</v>
      </c>
      <c r="I37" t="s">
        <v>563</v>
      </c>
      <c r="J37" t="s">
        <v>21</v>
      </c>
      <c r="L37" t="s">
        <v>129</v>
      </c>
      <c r="M37" t="s">
        <v>766</v>
      </c>
      <c r="N37" t="s">
        <v>147</v>
      </c>
    </row>
    <row r="38" spans="1:14" x14ac:dyDescent="0.35">
      <c r="A38" s="20">
        <v>46038.874652777777</v>
      </c>
      <c r="B38" t="s">
        <v>331</v>
      </c>
      <c r="C38" t="s">
        <v>450</v>
      </c>
      <c r="D38">
        <v>28.91</v>
      </c>
      <c r="E38">
        <v>0.79990000000000006</v>
      </c>
      <c r="F38" t="s">
        <v>658</v>
      </c>
      <c r="G38" t="s">
        <v>694</v>
      </c>
      <c r="H38" t="s">
        <v>521</v>
      </c>
      <c r="I38" t="s">
        <v>695</v>
      </c>
      <c r="J38" t="s">
        <v>20</v>
      </c>
      <c r="L38" t="s">
        <v>129</v>
      </c>
      <c r="M38" t="s">
        <v>767</v>
      </c>
      <c r="N38" t="s">
        <v>148</v>
      </c>
    </row>
    <row r="39" spans="1:14" x14ac:dyDescent="0.35">
      <c r="A39" s="20">
        <v>46038.874652777777</v>
      </c>
      <c r="B39" t="s">
        <v>329</v>
      </c>
      <c r="C39" t="s">
        <v>436</v>
      </c>
      <c r="D39">
        <v>28.1</v>
      </c>
      <c r="E39">
        <v>0.84719999999999995</v>
      </c>
      <c r="F39" t="s">
        <v>690</v>
      </c>
      <c r="G39" t="s">
        <v>589</v>
      </c>
      <c r="H39" t="s">
        <v>691</v>
      </c>
      <c r="I39" t="s">
        <v>590</v>
      </c>
      <c r="J39" t="s">
        <v>21</v>
      </c>
      <c r="L39" t="s">
        <v>129</v>
      </c>
      <c r="M39" t="s">
        <v>768</v>
      </c>
      <c r="N39" t="s">
        <v>149</v>
      </c>
    </row>
    <row r="40" spans="1:14" x14ac:dyDescent="0.35">
      <c r="A40" s="20">
        <v>46038.874652777777</v>
      </c>
      <c r="B40" t="s">
        <v>338</v>
      </c>
      <c r="C40" t="s">
        <v>499</v>
      </c>
      <c r="D40">
        <v>28.01</v>
      </c>
      <c r="E40">
        <v>0.86860000000000004</v>
      </c>
      <c r="F40" t="s">
        <v>707</v>
      </c>
      <c r="G40" t="s">
        <v>708</v>
      </c>
      <c r="H40" t="s">
        <v>600</v>
      </c>
      <c r="I40" t="s">
        <v>709</v>
      </c>
      <c r="J40" t="s">
        <v>20</v>
      </c>
      <c r="L40" t="s">
        <v>129</v>
      </c>
      <c r="M40" t="s">
        <v>769</v>
      </c>
      <c r="N40" t="s">
        <v>150</v>
      </c>
    </row>
    <row r="41" spans="1:14" x14ac:dyDescent="0.35">
      <c r="A41" s="20">
        <v>46038.874652777777</v>
      </c>
      <c r="B41" t="s">
        <v>339</v>
      </c>
      <c r="C41" t="s">
        <v>506</v>
      </c>
      <c r="D41">
        <v>26.72</v>
      </c>
      <c r="E41">
        <v>0.57630000000000003</v>
      </c>
      <c r="F41" t="s">
        <v>601</v>
      </c>
      <c r="G41" t="s">
        <v>657</v>
      </c>
      <c r="H41" t="s">
        <v>528</v>
      </c>
      <c r="I41" t="s">
        <v>602</v>
      </c>
      <c r="J41" t="s">
        <v>21</v>
      </c>
      <c r="L41" t="s">
        <v>129</v>
      </c>
      <c r="M41" t="s">
        <v>770</v>
      </c>
      <c r="N41" t="s">
        <v>151</v>
      </c>
    </row>
    <row r="42" spans="1:14" x14ac:dyDescent="0.35">
      <c r="A42" s="20">
        <v>46038.874652777777</v>
      </c>
      <c r="B42" t="s">
        <v>183</v>
      </c>
      <c r="C42" t="s">
        <v>422</v>
      </c>
      <c r="D42">
        <v>26.42</v>
      </c>
      <c r="E42">
        <v>0.81579999999999997</v>
      </c>
      <c r="F42" t="s">
        <v>553</v>
      </c>
      <c r="G42" t="s">
        <v>653</v>
      </c>
      <c r="H42" t="s">
        <v>514</v>
      </c>
      <c r="I42" t="s">
        <v>654</v>
      </c>
      <c r="J42" t="s">
        <v>20</v>
      </c>
      <c r="L42" t="s">
        <v>129</v>
      </c>
      <c r="M42" t="s">
        <v>771</v>
      </c>
      <c r="N42" t="s">
        <v>152</v>
      </c>
    </row>
    <row r="43" spans="1:14" x14ac:dyDescent="0.35">
      <c r="A43" s="20">
        <v>46038.874652777777</v>
      </c>
      <c r="B43" t="s">
        <v>185</v>
      </c>
      <c r="C43" t="s">
        <v>436</v>
      </c>
      <c r="D43">
        <v>26.08</v>
      </c>
      <c r="E43">
        <v>0.5877</v>
      </c>
      <c r="F43" t="s">
        <v>555</v>
      </c>
      <c r="G43" t="s">
        <v>516</v>
      </c>
      <c r="H43" t="s">
        <v>657</v>
      </c>
      <c r="I43" t="s">
        <v>556</v>
      </c>
      <c r="J43" t="s">
        <v>21</v>
      </c>
      <c r="L43" t="s">
        <v>129</v>
      </c>
      <c r="M43" t="s">
        <v>772</v>
      </c>
      <c r="N43" t="s">
        <v>153</v>
      </c>
    </row>
    <row r="44" spans="1:14" x14ac:dyDescent="0.35">
      <c r="A44" s="20">
        <v>46038.874652777777</v>
      </c>
      <c r="B44" t="s">
        <v>179</v>
      </c>
      <c r="C44" t="s">
        <v>307</v>
      </c>
      <c r="D44">
        <v>25.07</v>
      </c>
      <c r="E44">
        <v>0.61550000000000005</v>
      </c>
      <c r="F44" t="s">
        <v>545</v>
      </c>
      <c r="G44" t="s">
        <v>646</v>
      </c>
      <c r="H44" t="s">
        <v>647</v>
      </c>
      <c r="I44" t="s">
        <v>546</v>
      </c>
      <c r="J44" t="s">
        <v>21</v>
      </c>
      <c r="L44" t="s">
        <v>129</v>
      </c>
      <c r="M44" t="s">
        <v>773</v>
      </c>
      <c r="N44" t="s">
        <v>741</v>
      </c>
    </row>
    <row r="45" spans="1:14" x14ac:dyDescent="0.35">
      <c r="A45" s="20">
        <v>46038.874652777777</v>
      </c>
      <c r="B45" t="s">
        <v>346</v>
      </c>
      <c r="C45" t="s">
        <v>415</v>
      </c>
      <c r="D45">
        <v>24.4</v>
      </c>
      <c r="E45">
        <v>0.82909999999999995</v>
      </c>
      <c r="F45" t="s">
        <v>720</v>
      </c>
      <c r="G45" t="s">
        <v>721</v>
      </c>
      <c r="H45" t="s">
        <v>614</v>
      </c>
      <c r="I45" t="s">
        <v>615</v>
      </c>
      <c r="J45" t="s">
        <v>21</v>
      </c>
      <c r="L45" t="s">
        <v>129</v>
      </c>
      <c r="M45" t="s">
        <v>774</v>
      </c>
      <c r="N45" t="s">
        <v>743</v>
      </c>
    </row>
    <row r="46" spans="1:14" x14ac:dyDescent="0.35">
      <c r="A46" s="20">
        <v>46038.874652777777</v>
      </c>
      <c r="B46" t="s">
        <v>327</v>
      </c>
      <c r="C46" t="s">
        <v>422</v>
      </c>
      <c r="D46">
        <v>23.79</v>
      </c>
      <c r="E46">
        <v>0.75229999999999997</v>
      </c>
      <c r="F46" t="s">
        <v>587</v>
      </c>
      <c r="G46" t="s">
        <v>686</v>
      </c>
      <c r="H46" t="s">
        <v>523</v>
      </c>
      <c r="I46" t="s">
        <v>687</v>
      </c>
      <c r="J46" t="s">
        <v>20</v>
      </c>
      <c r="L46" t="s">
        <v>129</v>
      </c>
      <c r="M46" t="s">
        <v>775</v>
      </c>
      <c r="N46" t="s">
        <v>745</v>
      </c>
    </row>
    <row r="47" spans="1:14" x14ac:dyDescent="0.35">
      <c r="A47" s="20">
        <v>46038.874652777777</v>
      </c>
      <c r="B47" t="s">
        <v>328</v>
      </c>
      <c r="C47" t="s">
        <v>429</v>
      </c>
      <c r="D47">
        <v>23.43</v>
      </c>
      <c r="E47">
        <v>0.77559999999999996</v>
      </c>
      <c r="F47" t="s">
        <v>588</v>
      </c>
      <c r="G47" t="s">
        <v>524</v>
      </c>
      <c r="H47" t="s">
        <v>688</v>
      </c>
      <c r="I47" t="s">
        <v>689</v>
      </c>
      <c r="J47" t="s">
        <v>20</v>
      </c>
      <c r="L47" t="s">
        <v>129</v>
      </c>
      <c r="M47" t="s">
        <v>776</v>
      </c>
      <c r="N47" t="s">
        <v>101</v>
      </c>
    </row>
    <row r="48" spans="1:14" x14ac:dyDescent="0.35">
      <c r="A48" s="20">
        <v>46038.874652777777</v>
      </c>
      <c r="B48" t="s">
        <v>318</v>
      </c>
      <c r="C48" t="s">
        <v>499</v>
      </c>
      <c r="D48">
        <v>22.67</v>
      </c>
      <c r="E48">
        <v>0.79259999999999997</v>
      </c>
      <c r="F48" t="s">
        <v>674</v>
      </c>
      <c r="G48" t="s">
        <v>571</v>
      </c>
      <c r="H48" t="s">
        <v>519</v>
      </c>
      <c r="I48" t="s">
        <v>675</v>
      </c>
      <c r="J48" t="s">
        <v>20</v>
      </c>
      <c r="L48" t="s">
        <v>129</v>
      </c>
      <c r="M48" t="s">
        <v>777</v>
      </c>
      <c r="N48" t="s">
        <v>143</v>
      </c>
    </row>
    <row r="49" spans="1:14" x14ac:dyDescent="0.35">
      <c r="A49" s="20">
        <v>46038.874652777777</v>
      </c>
      <c r="B49" t="s">
        <v>344</v>
      </c>
      <c r="C49" t="s">
        <v>308</v>
      </c>
      <c r="D49">
        <v>16.11</v>
      </c>
      <c r="E49">
        <v>0.83779999999999999</v>
      </c>
      <c r="F49" t="s">
        <v>611</v>
      </c>
      <c r="G49" t="s">
        <v>530</v>
      </c>
      <c r="H49" t="s">
        <v>655</v>
      </c>
      <c r="I49" t="s">
        <v>717</v>
      </c>
      <c r="J49" t="s">
        <v>20</v>
      </c>
      <c r="L49" t="s">
        <v>129</v>
      </c>
      <c r="M49" t="s">
        <v>778</v>
      </c>
      <c r="N49" t="s">
        <v>144</v>
      </c>
    </row>
    <row r="50" spans="1:14" x14ac:dyDescent="0.35">
      <c r="A50" s="20">
        <v>46038.874652777777</v>
      </c>
      <c r="B50" t="s">
        <v>184</v>
      </c>
      <c r="C50" t="s">
        <v>429</v>
      </c>
      <c r="D50">
        <v>15.95</v>
      </c>
      <c r="E50">
        <v>0.85570000000000002</v>
      </c>
      <c r="F50" t="s">
        <v>554</v>
      </c>
      <c r="G50" t="s">
        <v>515</v>
      </c>
      <c r="H50" t="s">
        <v>655</v>
      </c>
      <c r="I50" t="s">
        <v>656</v>
      </c>
      <c r="J50" t="s">
        <v>20</v>
      </c>
      <c r="L50" t="s">
        <v>129</v>
      </c>
      <c r="M50" t="s">
        <v>779</v>
      </c>
      <c r="N50" t="s">
        <v>145</v>
      </c>
    </row>
    <row r="51" spans="1:14" x14ac:dyDescent="0.35">
      <c r="A51" s="20">
        <v>46038.874652777777</v>
      </c>
      <c r="B51" t="s">
        <v>337</v>
      </c>
      <c r="C51" t="s">
        <v>492</v>
      </c>
      <c r="D51">
        <v>14.57</v>
      </c>
      <c r="E51">
        <v>0.90480000000000005</v>
      </c>
      <c r="F51" t="s">
        <v>704</v>
      </c>
      <c r="G51" t="s">
        <v>527</v>
      </c>
      <c r="H51" t="s">
        <v>705</v>
      </c>
      <c r="I51" t="s">
        <v>706</v>
      </c>
      <c r="J51" t="s">
        <v>20</v>
      </c>
      <c r="L51" t="s">
        <v>129</v>
      </c>
      <c r="M51" t="s">
        <v>780</v>
      </c>
      <c r="N51" t="s">
        <v>146</v>
      </c>
    </row>
  </sheetData>
  <sortState xmlns:xlrd2="http://schemas.microsoft.com/office/spreadsheetml/2017/richdata2" ref="A2:L51">
    <sortCondition descending="1" ref="D1:D1048576"/>
  </sortState>
  <conditionalFormatting sqref="J2:J51">
    <cfRule type="expression" dxfId="2" priority="1" stopIfTrue="1">
      <formula>$J2="HOLD"</formula>
    </cfRule>
    <cfRule type="expression" dxfId="1" priority="2" stopIfTrue="1">
      <formula>$J2="REVIEW"</formula>
    </cfRule>
    <cfRule type="expression" dxfId="0" priority="3" stopIfTrue="1">
      <formula>$J2="PASS"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4B0EA-B545-4FD2-8AD2-4834BB2A5AB6}">
  <sheetPr codeName="Sheet14"/>
  <dimension ref="A1:H14"/>
  <sheetViews>
    <sheetView zoomScale="71" workbookViewId="0">
      <selection sqref="A1:H1"/>
    </sheetView>
  </sheetViews>
  <sheetFormatPr defaultRowHeight="14.5" x14ac:dyDescent="0.35"/>
  <cols>
    <col min="8" max="8" width="28.6328125" customWidth="1"/>
  </cols>
  <sheetData>
    <row r="1" spans="1:8" ht="36" customHeight="1" x14ac:dyDescent="0.35">
      <c r="A1" s="82" t="s">
        <v>806</v>
      </c>
      <c r="B1" s="82"/>
      <c r="C1" s="82"/>
      <c r="D1" s="82"/>
      <c r="E1" s="82"/>
      <c r="F1" s="82"/>
      <c r="G1" s="82"/>
      <c r="H1" s="82"/>
    </row>
    <row r="2" spans="1:8" x14ac:dyDescent="0.35">
      <c r="A2" s="83" t="s">
        <v>807</v>
      </c>
      <c r="B2" s="83"/>
      <c r="C2" s="83"/>
      <c r="D2" s="83"/>
      <c r="E2" s="83"/>
      <c r="F2" s="83"/>
      <c r="G2" s="83"/>
      <c r="H2" s="83"/>
    </row>
    <row r="4" spans="1:8" ht="20" customHeight="1" x14ac:dyDescent="0.35">
      <c r="A4" s="76" t="s">
        <v>808</v>
      </c>
      <c r="B4" s="76"/>
      <c r="C4" s="76" t="s">
        <v>810</v>
      </c>
      <c r="D4" s="76"/>
      <c r="E4" s="80" t="s">
        <v>812</v>
      </c>
      <c r="F4" s="80"/>
      <c r="G4" s="76" t="s">
        <v>815</v>
      </c>
      <c r="H4" s="76"/>
    </row>
    <row r="5" spans="1:8" ht="32" customHeight="1" x14ac:dyDescent="0.35">
      <c r="A5" s="77">
        <v>89.5</v>
      </c>
      <c r="B5" s="77"/>
      <c r="C5" s="79">
        <v>0.874</v>
      </c>
      <c r="D5" s="77"/>
      <c r="E5" s="77" t="s">
        <v>813</v>
      </c>
      <c r="F5" s="77"/>
      <c r="G5" s="77" t="s">
        <v>816</v>
      </c>
      <c r="H5" s="77"/>
    </row>
    <row r="6" spans="1:8" ht="18" customHeight="1" x14ac:dyDescent="0.35">
      <c r="A6" s="78" t="s">
        <v>809</v>
      </c>
      <c r="B6" s="78"/>
      <c r="C6" s="78" t="s">
        <v>811</v>
      </c>
      <c r="D6" s="78"/>
      <c r="E6" s="78" t="s">
        <v>814</v>
      </c>
      <c r="F6" s="78"/>
      <c r="G6" s="78" t="s">
        <v>817</v>
      </c>
      <c r="H6" s="78"/>
    </row>
    <row r="8" spans="1:8" ht="20" customHeight="1" x14ac:dyDescent="0.35">
      <c r="A8" s="76" t="s">
        <v>818</v>
      </c>
      <c r="B8" s="76"/>
      <c r="C8" s="80" t="s">
        <v>821</v>
      </c>
      <c r="D8" s="80"/>
      <c r="E8" s="81" t="s">
        <v>824</v>
      </c>
      <c r="F8" s="81"/>
      <c r="G8" s="81" t="s">
        <v>827</v>
      </c>
      <c r="H8" s="81"/>
    </row>
    <row r="9" spans="1:8" ht="32" customHeight="1" x14ac:dyDescent="0.35">
      <c r="A9" s="77" t="s">
        <v>819</v>
      </c>
      <c r="B9" s="77"/>
      <c r="C9" s="77" t="s">
        <v>822</v>
      </c>
      <c r="D9" s="77"/>
      <c r="E9" s="77" t="s">
        <v>825</v>
      </c>
      <c r="F9" s="77"/>
      <c r="G9" s="77" t="s">
        <v>825</v>
      </c>
      <c r="H9" s="77"/>
    </row>
    <row r="10" spans="1:8" ht="18" customHeight="1" x14ac:dyDescent="0.35">
      <c r="A10" s="78" t="s">
        <v>820</v>
      </c>
      <c r="B10" s="78"/>
      <c r="C10" s="78" t="s">
        <v>823</v>
      </c>
      <c r="D10" s="78"/>
      <c r="E10" s="78" t="s">
        <v>826</v>
      </c>
      <c r="F10" s="78"/>
      <c r="G10" s="78" t="s">
        <v>828</v>
      </c>
      <c r="H10" s="78"/>
    </row>
    <row r="12" spans="1:8" ht="20" customHeight="1" x14ac:dyDescent="0.35">
      <c r="A12" s="76" t="s">
        <v>829</v>
      </c>
      <c r="B12" s="76"/>
      <c r="C12" s="76" t="s">
        <v>831</v>
      </c>
      <c r="D12" s="76"/>
      <c r="E12" s="80" t="s">
        <v>834</v>
      </c>
      <c r="F12" s="80"/>
      <c r="G12" s="76" t="s">
        <v>836</v>
      </c>
      <c r="H12" s="76"/>
    </row>
    <row r="13" spans="1:8" ht="32" customHeight="1" x14ac:dyDescent="0.35">
      <c r="A13" s="79">
        <v>1</v>
      </c>
      <c r="B13" s="77"/>
      <c r="C13" s="77" t="s">
        <v>832</v>
      </c>
      <c r="D13" s="77"/>
      <c r="E13" s="79">
        <v>0.94299999999999995</v>
      </c>
      <c r="F13" s="77"/>
      <c r="G13" s="77" t="s">
        <v>837</v>
      </c>
      <c r="H13" s="77"/>
    </row>
    <row r="14" spans="1:8" ht="18" customHeight="1" x14ac:dyDescent="0.35">
      <c r="A14" s="78" t="s">
        <v>830</v>
      </c>
      <c r="B14" s="78"/>
      <c r="C14" s="78" t="s">
        <v>833</v>
      </c>
      <c r="D14" s="78"/>
      <c r="E14" s="78" t="s">
        <v>835</v>
      </c>
      <c r="F14" s="78"/>
      <c r="G14" s="78" t="s">
        <v>838</v>
      </c>
      <c r="H14" s="78"/>
    </row>
  </sheetData>
  <mergeCells count="38">
    <mergeCell ref="A9:B9"/>
    <mergeCell ref="G8:H8"/>
    <mergeCell ref="G9:H9"/>
    <mergeCell ref="A1:H1"/>
    <mergeCell ref="A2:H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A8:B8"/>
    <mergeCell ref="C8:D8"/>
    <mergeCell ref="C9:D9"/>
    <mergeCell ref="C10:D10"/>
    <mergeCell ref="E8:F8"/>
    <mergeCell ref="E9:F9"/>
    <mergeCell ref="E10:F10"/>
    <mergeCell ref="G12:H12"/>
    <mergeCell ref="G13:H13"/>
    <mergeCell ref="G14:H14"/>
    <mergeCell ref="G10:H10"/>
    <mergeCell ref="A12:B12"/>
    <mergeCell ref="A13:B13"/>
    <mergeCell ref="A14:B14"/>
    <mergeCell ref="C12:D12"/>
    <mergeCell ref="C13:D13"/>
    <mergeCell ref="C14:D14"/>
    <mergeCell ref="E12:F12"/>
    <mergeCell ref="E13:F13"/>
    <mergeCell ref="E14:F14"/>
    <mergeCell ref="A10:B10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88B7B-C593-4172-B183-218FACCCFB22}">
  <sheetPr codeName="Sheet13"/>
  <dimension ref="A1:M8"/>
  <sheetViews>
    <sheetView zoomScale="61" workbookViewId="0">
      <selection activeCell="L17" sqref="L17"/>
    </sheetView>
  </sheetViews>
  <sheetFormatPr defaultRowHeight="14.5" x14ac:dyDescent="0.35"/>
  <cols>
    <col min="1" max="1" width="14.6328125" customWidth="1"/>
    <col min="2" max="2" width="18.6328125" customWidth="1"/>
    <col min="3" max="3" width="11.6328125" customWidth="1"/>
    <col min="4" max="4" width="10.6328125" customWidth="1"/>
    <col min="5" max="5" width="11.6328125" customWidth="1"/>
    <col min="6" max="7" width="10.6328125" customWidth="1"/>
    <col min="8" max="8" width="13.6328125" customWidth="1"/>
    <col min="9" max="9" width="15.6328125" customWidth="1"/>
    <col min="10" max="10" width="11.6328125" customWidth="1"/>
    <col min="11" max="13" width="18.6328125" customWidth="1"/>
  </cols>
  <sheetData>
    <row r="1" spans="1:13" ht="24" customHeight="1" x14ac:dyDescent="0.35">
      <c r="A1" s="53" t="s">
        <v>22</v>
      </c>
      <c r="B1" s="53" t="s">
        <v>23</v>
      </c>
      <c r="C1" s="53" t="s">
        <v>792</v>
      </c>
      <c r="D1" s="53" t="s">
        <v>793</v>
      </c>
      <c r="E1" s="53" t="s">
        <v>794</v>
      </c>
      <c r="F1" s="53" t="s">
        <v>795</v>
      </c>
      <c r="G1" s="53" t="s">
        <v>796</v>
      </c>
      <c r="H1" s="53" t="s">
        <v>797</v>
      </c>
      <c r="I1" s="53" t="s">
        <v>798</v>
      </c>
      <c r="J1" s="53" t="s">
        <v>799</v>
      </c>
      <c r="K1" s="53" t="s">
        <v>800</v>
      </c>
      <c r="L1" s="53" t="s">
        <v>801</v>
      </c>
      <c r="M1" s="53" t="s">
        <v>802</v>
      </c>
    </row>
    <row r="2" spans="1:13" x14ac:dyDescent="0.35">
      <c r="A2" t="s">
        <v>31</v>
      </c>
      <c r="B2" t="s">
        <v>32</v>
      </c>
      <c r="C2" s="56">
        <v>92.128888888888895</v>
      </c>
      <c r="D2" s="54">
        <v>88.299441733387496</v>
      </c>
      <c r="E2" s="54">
        <v>2262</v>
      </c>
      <c r="F2" s="54">
        <v>226.20000000000002</v>
      </c>
      <c r="G2" s="55">
        <v>500</v>
      </c>
      <c r="H2" s="54">
        <v>5.7774999999999999</v>
      </c>
      <c r="I2" t="s">
        <v>803</v>
      </c>
      <c r="J2" t="s">
        <v>804</v>
      </c>
      <c r="K2" t="s">
        <v>805</v>
      </c>
      <c r="L2" t="s">
        <v>369</v>
      </c>
      <c r="M2" s="20">
        <v>46039.592847222222</v>
      </c>
    </row>
    <row r="3" spans="1:13" x14ac:dyDescent="0.35">
      <c r="A3" t="s">
        <v>34</v>
      </c>
      <c r="B3" t="s">
        <v>35</v>
      </c>
      <c r="C3" s="56">
        <v>89.371833333333342</v>
      </c>
      <c r="D3" s="54">
        <v>88.224642939186893</v>
      </c>
      <c r="E3" s="54">
        <v>1886.7924528301889</v>
      </c>
      <c r="F3" s="54">
        <v>188.6792452830189</v>
      </c>
      <c r="G3" s="55">
        <v>500</v>
      </c>
      <c r="H3" s="54">
        <v>8.9879999999999995</v>
      </c>
      <c r="I3" t="s">
        <v>803</v>
      </c>
      <c r="J3" t="s">
        <v>804</v>
      </c>
      <c r="K3" t="s">
        <v>805</v>
      </c>
      <c r="L3" t="s">
        <v>369</v>
      </c>
      <c r="M3" s="20">
        <v>46039.592847222222</v>
      </c>
    </row>
    <row r="4" spans="1:13" x14ac:dyDescent="0.35">
      <c r="A4" t="s">
        <v>36</v>
      </c>
      <c r="B4" t="s">
        <v>370</v>
      </c>
      <c r="C4" s="56">
        <v>87.202611111111111</v>
      </c>
      <c r="D4" s="54">
        <v>88.187258755101595</v>
      </c>
      <c r="E4" s="54">
        <v>1612.9032258064517</v>
      </c>
      <c r="F4" s="54">
        <v>161.29032258064518</v>
      </c>
      <c r="G4" s="55">
        <v>500</v>
      </c>
      <c r="H4" s="54">
        <v>10.439500000000001</v>
      </c>
      <c r="I4" t="s">
        <v>803</v>
      </c>
      <c r="J4" t="s">
        <v>804</v>
      </c>
      <c r="K4" t="s">
        <v>805</v>
      </c>
      <c r="L4" t="s">
        <v>369</v>
      </c>
      <c r="M4" s="20">
        <v>46039.592847222222</v>
      </c>
    </row>
    <row r="5" spans="1:13" x14ac:dyDescent="0.35">
      <c r="A5" t="s">
        <v>167</v>
      </c>
      <c r="B5" t="s">
        <v>371</v>
      </c>
      <c r="C5" s="56">
        <v>87.268555555555551</v>
      </c>
      <c r="D5" s="54">
        <v>88.137428949832781</v>
      </c>
      <c r="E5" s="54">
        <v>1351.3513513513512</v>
      </c>
      <c r="F5" s="54">
        <v>135.13513513513513</v>
      </c>
      <c r="G5" s="55">
        <v>500</v>
      </c>
      <c r="H5" s="54">
        <v>11.324</v>
      </c>
      <c r="I5" t="s">
        <v>803</v>
      </c>
      <c r="J5" t="s">
        <v>804</v>
      </c>
      <c r="K5" t="s">
        <v>805</v>
      </c>
      <c r="L5" t="s">
        <v>372</v>
      </c>
      <c r="M5" s="20">
        <v>46039.592847222222</v>
      </c>
    </row>
    <row r="6" spans="1:13" x14ac:dyDescent="0.35">
      <c r="A6" t="s">
        <v>168</v>
      </c>
      <c r="B6" t="s">
        <v>374</v>
      </c>
      <c r="C6" s="56">
        <v>87.898777777777781</v>
      </c>
      <c r="D6" s="54">
        <v>88.349330138199889</v>
      </c>
      <c r="E6" s="54">
        <v>3724</v>
      </c>
      <c r="F6" s="54">
        <v>372.40000000000003</v>
      </c>
      <c r="G6" s="55">
        <v>500</v>
      </c>
      <c r="H6" s="54">
        <v>9.3904999999999994</v>
      </c>
      <c r="I6" t="s">
        <v>803</v>
      </c>
      <c r="J6" t="s">
        <v>804</v>
      </c>
      <c r="K6" t="s">
        <v>805</v>
      </c>
      <c r="L6" t="s">
        <v>369</v>
      </c>
      <c r="M6" s="20">
        <v>46039.592847222222</v>
      </c>
    </row>
    <row r="7" spans="1:13" x14ac:dyDescent="0.35">
      <c r="A7" t="s">
        <v>169</v>
      </c>
      <c r="B7" t="s">
        <v>375</v>
      </c>
      <c r="C7" s="56">
        <v>88.325611111111115</v>
      </c>
      <c r="D7" s="54">
        <v>88.087617168583179</v>
      </c>
      <c r="E7" s="54">
        <v>1162.7906976744187</v>
      </c>
      <c r="F7" s="54">
        <v>116.27906976744187</v>
      </c>
      <c r="G7" s="55">
        <v>500</v>
      </c>
      <c r="H7" s="54">
        <v>11.3285</v>
      </c>
      <c r="I7" t="s">
        <v>803</v>
      </c>
      <c r="J7" t="s">
        <v>804</v>
      </c>
      <c r="K7" t="s">
        <v>805</v>
      </c>
      <c r="L7" t="s">
        <v>372</v>
      </c>
      <c r="M7" s="20">
        <v>46039.592847222222</v>
      </c>
    </row>
    <row r="8" spans="1:13" x14ac:dyDescent="0.35">
      <c r="A8" t="s">
        <v>170</v>
      </c>
      <c r="B8" t="s">
        <v>376</v>
      </c>
      <c r="C8" s="56">
        <v>94.261444444444436</v>
      </c>
      <c r="D8" s="54">
        <v>88.357646625871695</v>
      </c>
      <c r="E8" s="54">
        <v>1648</v>
      </c>
      <c r="F8" s="54">
        <v>164.8</v>
      </c>
      <c r="G8" s="55">
        <v>500</v>
      </c>
      <c r="H8" s="54">
        <v>4.1935000000000002</v>
      </c>
      <c r="I8" t="s">
        <v>803</v>
      </c>
      <c r="J8" t="s">
        <v>804</v>
      </c>
      <c r="K8" t="s">
        <v>805</v>
      </c>
      <c r="L8" t="s">
        <v>369</v>
      </c>
      <c r="M8" s="20">
        <v>46039.592847222222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6463B-529E-42EF-9178-0B51AE2DE9AA}">
  <sheetPr codeName="Sheet3"/>
  <dimension ref="A1:J8"/>
  <sheetViews>
    <sheetView zoomScale="56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21" sqref="E21"/>
    </sheetView>
  </sheetViews>
  <sheetFormatPr defaultRowHeight="14.5" x14ac:dyDescent="0.35"/>
  <cols>
    <col min="1" max="1" width="16.36328125" bestFit="1" customWidth="1"/>
    <col min="2" max="2" width="17.81640625" bestFit="1" customWidth="1"/>
    <col min="3" max="3" width="11.1796875" bestFit="1" customWidth="1"/>
    <col min="4" max="4" width="18" bestFit="1" customWidth="1"/>
    <col min="5" max="5" width="17.90625" bestFit="1" customWidth="1"/>
    <col min="6" max="6" width="12.36328125" bestFit="1" customWidth="1"/>
    <col min="7" max="7" width="28.6328125" bestFit="1" customWidth="1"/>
    <col min="8" max="8" width="16.81640625" bestFit="1" customWidth="1"/>
    <col min="9" max="9" width="20.7265625" bestFit="1" customWidth="1"/>
    <col min="10" max="10" width="15.1796875" bestFit="1" customWidth="1"/>
  </cols>
  <sheetData>
    <row r="1" spans="1:10" ht="16.5" x14ac:dyDescent="0.45">
      <c r="A1" s="47" t="s">
        <v>22</v>
      </c>
      <c r="B1" s="47" t="s">
        <v>23</v>
      </c>
      <c r="C1" s="47" t="s">
        <v>24</v>
      </c>
      <c r="D1" s="47" t="s">
        <v>25</v>
      </c>
      <c r="E1" s="47" t="s">
        <v>26</v>
      </c>
      <c r="F1" s="47" t="s">
        <v>27</v>
      </c>
      <c r="G1" s="47" t="s">
        <v>17</v>
      </c>
      <c r="H1" s="47" t="s">
        <v>28</v>
      </c>
      <c r="I1" s="47" t="s">
        <v>29</v>
      </c>
      <c r="J1" s="47" t="s">
        <v>30</v>
      </c>
    </row>
    <row r="2" spans="1:10" x14ac:dyDescent="0.35">
      <c r="A2" t="s">
        <v>31</v>
      </c>
      <c r="B2" t="s">
        <v>32</v>
      </c>
      <c r="C2">
        <v>2262</v>
      </c>
      <c r="D2" s="22">
        <v>46001</v>
      </c>
      <c r="E2" s="22">
        <v>46074</v>
      </c>
      <c r="F2" s="48">
        <v>3.5000000000000003E-2</v>
      </c>
      <c r="G2" t="s">
        <v>369</v>
      </c>
      <c r="H2" s="22">
        <v>46138</v>
      </c>
      <c r="I2" t="s">
        <v>33</v>
      </c>
      <c r="J2" s="20">
        <v>46033.081250000003</v>
      </c>
    </row>
    <row r="3" spans="1:10" x14ac:dyDescent="0.35">
      <c r="A3" t="s">
        <v>34</v>
      </c>
      <c r="B3" t="s">
        <v>35</v>
      </c>
      <c r="C3">
        <v>3521</v>
      </c>
      <c r="D3" s="22">
        <v>46009</v>
      </c>
      <c r="E3" s="22">
        <v>46047</v>
      </c>
      <c r="F3" s="48">
        <v>5.2999999999999999E-2</v>
      </c>
      <c r="G3" t="s">
        <v>369</v>
      </c>
      <c r="H3" s="22">
        <v>46152</v>
      </c>
      <c r="I3" t="s">
        <v>33</v>
      </c>
      <c r="J3" s="20">
        <v>46032.586805555555</v>
      </c>
    </row>
    <row r="4" spans="1:10" x14ac:dyDescent="0.35">
      <c r="A4" t="s">
        <v>36</v>
      </c>
      <c r="B4" t="s">
        <v>370</v>
      </c>
      <c r="C4">
        <v>4089</v>
      </c>
      <c r="D4" s="22">
        <v>45996</v>
      </c>
      <c r="E4" s="22">
        <v>46064</v>
      </c>
      <c r="F4" s="48">
        <v>6.2E-2</v>
      </c>
      <c r="G4" t="s">
        <v>369</v>
      </c>
      <c r="H4" s="22">
        <v>46085</v>
      </c>
      <c r="I4" t="s">
        <v>33</v>
      </c>
      <c r="J4" s="20">
        <v>46035.806944444441</v>
      </c>
    </row>
    <row r="5" spans="1:10" x14ac:dyDescent="0.35">
      <c r="A5" t="s">
        <v>167</v>
      </c>
      <c r="B5" t="s">
        <v>371</v>
      </c>
      <c r="C5">
        <v>4426</v>
      </c>
      <c r="D5" s="22">
        <v>46013</v>
      </c>
      <c r="E5" s="22">
        <v>46118</v>
      </c>
      <c r="F5" s="48">
        <v>7.3999999999999996E-2</v>
      </c>
      <c r="G5" t="s">
        <v>372</v>
      </c>
      <c r="H5" s="22">
        <v>46076</v>
      </c>
      <c r="I5" t="s">
        <v>373</v>
      </c>
      <c r="J5" s="20">
        <v>46033.051388888889</v>
      </c>
    </row>
    <row r="6" spans="1:10" x14ac:dyDescent="0.35">
      <c r="A6" t="s">
        <v>168</v>
      </c>
      <c r="B6" t="s">
        <v>374</v>
      </c>
      <c r="C6">
        <v>3724</v>
      </c>
      <c r="D6" s="22">
        <v>45990</v>
      </c>
      <c r="E6" s="22">
        <v>46102</v>
      </c>
      <c r="F6" s="48">
        <v>2.3E-2</v>
      </c>
      <c r="G6" t="s">
        <v>369</v>
      </c>
      <c r="H6" s="22">
        <v>46099</v>
      </c>
      <c r="I6" t="s">
        <v>33</v>
      </c>
      <c r="J6" s="20">
        <v>46037.230555555558</v>
      </c>
    </row>
    <row r="7" spans="1:10" x14ac:dyDescent="0.35">
      <c r="A7" t="s">
        <v>169</v>
      </c>
      <c r="B7" t="s">
        <v>375</v>
      </c>
      <c r="C7">
        <v>4411</v>
      </c>
      <c r="D7" s="22">
        <v>46032</v>
      </c>
      <c r="E7" s="22">
        <v>46146</v>
      </c>
      <c r="F7" s="48">
        <v>8.5999999999999993E-2</v>
      </c>
      <c r="G7" t="s">
        <v>372</v>
      </c>
      <c r="H7" s="22">
        <v>46122</v>
      </c>
      <c r="I7" t="s">
        <v>373</v>
      </c>
      <c r="J7" s="20">
        <v>46038.128472222219</v>
      </c>
    </row>
    <row r="8" spans="1:10" x14ac:dyDescent="0.35">
      <c r="A8" t="s">
        <v>170</v>
      </c>
      <c r="B8" t="s">
        <v>376</v>
      </c>
      <c r="C8">
        <v>1648</v>
      </c>
      <c r="D8" s="22">
        <v>46011</v>
      </c>
      <c r="E8" s="22">
        <v>46076</v>
      </c>
      <c r="F8" s="48">
        <v>2.1000000000000001E-2</v>
      </c>
      <c r="G8" t="s">
        <v>369</v>
      </c>
      <c r="H8" s="22">
        <v>46147</v>
      </c>
      <c r="I8" t="s">
        <v>33</v>
      </c>
      <c r="J8" s="20">
        <v>46032.298611111109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4429-9170-4DB6-A159-48944E9D4A79}">
  <sheetPr codeName="Sheet4"/>
  <dimension ref="A1:G5"/>
  <sheetViews>
    <sheetView workbookViewId="0">
      <selection activeCell="B49" sqref="B49"/>
    </sheetView>
  </sheetViews>
  <sheetFormatPr defaultRowHeight="14.5" x14ac:dyDescent="0.35"/>
  <cols>
    <col min="1" max="1" width="16.08984375" customWidth="1"/>
    <col min="2" max="2" width="19.54296875" customWidth="1"/>
    <col min="3" max="3" width="17.1796875" customWidth="1"/>
    <col min="4" max="4" width="23.6328125" customWidth="1"/>
    <col min="5" max="5" width="24.7265625" customWidth="1"/>
    <col min="6" max="6" width="25.36328125" style="20" customWidth="1"/>
  </cols>
  <sheetData>
    <row r="1" spans="1:7" s="19" customFormat="1" ht="15.5" x14ac:dyDescent="0.35">
      <c r="A1" s="21" t="s">
        <v>37</v>
      </c>
      <c r="B1" s="21" t="s">
        <v>38</v>
      </c>
      <c r="C1" s="21" t="s">
        <v>39</v>
      </c>
      <c r="D1" s="21" t="s">
        <v>40</v>
      </c>
      <c r="E1" s="21" t="s">
        <v>41</v>
      </c>
      <c r="F1" s="25" t="s">
        <v>42</v>
      </c>
      <c r="G1" s="21" t="s">
        <v>43</v>
      </c>
    </row>
    <row r="2" spans="1:7" x14ac:dyDescent="0.35">
      <c r="A2" s="23" t="s">
        <v>44</v>
      </c>
      <c r="B2" s="23" t="s">
        <v>45</v>
      </c>
      <c r="C2" s="23" t="s">
        <v>19</v>
      </c>
      <c r="D2" s="23" t="s">
        <v>46</v>
      </c>
      <c r="E2" s="23" t="s">
        <v>47</v>
      </c>
      <c r="F2" s="24">
        <v>46027.354166666664</v>
      </c>
      <c r="G2" s="23" t="b">
        <v>1</v>
      </c>
    </row>
    <row r="3" spans="1:7" x14ac:dyDescent="0.35">
      <c r="A3" s="23" t="s">
        <v>48</v>
      </c>
      <c r="B3" s="23" t="s">
        <v>49</v>
      </c>
      <c r="C3" s="23" t="s">
        <v>19</v>
      </c>
      <c r="D3" s="23" t="s">
        <v>50</v>
      </c>
      <c r="E3" s="23" t="s">
        <v>51</v>
      </c>
      <c r="F3" s="24">
        <v>46027.385416666664</v>
      </c>
      <c r="G3" s="23" t="b">
        <v>1</v>
      </c>
    </row>
    <row r="4" spans="1:7" x14ac:dyDescent="0.35">
      <c r="A4" s="23" t="s">
        <v>52</v>
      </c>
      <c r="B4" s="23" t="s">
        <v>53</v>
      </c>
      <c r="C4" s="23" t="s">
        <v>19</v>
      </c>
      <c r="D4" s="23" t="s">
        <v>54</v>
      </c>
      <c r="E4" s="23" t="s">
        <v>55</v>
      </c>
      <c r="F4" s="24">
        <v>46026.604166666664</v>
      </c>
      <c r="G4" s="23" t="b">
        <v>1</v>
      </c>
    </row>
    <row r="5" spans="1:7" x14ac:dyDescent="0.35">
      <c r="A5" s="23" t="s">
        <v>56</v>
      </c>
      <c r="B5" s="23" t="s">
        <v>57</v>
      </c>
      <c r="C5" s="23" t="s">
        <v>19</v>
      </c>
      <c r="D5" s="23" t="s">
        <v>58</v>
      </c>
      <c r="E5" s="23" t="s">
        <v>59</v>
      </c>
      <c r="F5" s="24">
        <v>46025.447916666664</v>
      </c>
      <c r="G5" s="23" t="b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7D37F-DAF6-4255-874D-9670120FA408}">
  <sheetPr codeName="Sheet17"/>
  <dimension ref="A1:H19"/>
  <sheetViews>
    <sheetView zoomScale="54" workbookViewId="0">
      <selection activeCell="J9" sqref="J9"/>
    </sheetView>
  </sheetViews>
  <sheetFormatPr defaultRowHeight="14.5" x14ac:dyDescent="0.35"/>
  <cols>
    <col min="1" max="1" width="38.26953125" customWidth="1"/>
    <col min="4" max="4" width="26.54296875" customWidth="1"/>
  </cols>
  <sheetData>
    <row r="1" spans="1:8" ht="32" customHeight="1" x14ac:dyDescent="0.45">
      <c r="A1" s="88" t="s">
        <v>866</v>
      </c>
      <c r="B1" s="88"/>
      <c r="C1" s="88"/>
      <c r="D1" s="88"/>
      <c r="E1" s="88"/>
      <c r="F1" s="88"/>
      <c r="G1" s="88"/>
      <c r="H1" s="88"/>
    </row>
    <row r="2" spans="1:8" x14ac:dyDescent="0.35">
      <c r="A2" s="83" t="s">
        <v>885</v>
      </c>
      <c r="B2" s="83"/>
      <c r="C2" s="83"/>
      <c r="D2" s="83"/>
      <c r="E2" s="83"/>
      <c r="F2" s="83"/>
      <c r="G2" s="83"/>
      <c r="H2" s="83"/>
    </row>
    <row r="5" spans="1:8" ht="18" customHeight="1" x14ac:dyDescent="0.35">
      <c r="A5" s="87" t="s">
        <v>867</v>
      </c>
      <c r="B5" s="87"/>
      <c r="C5" s="89" t="s">
        <v>868</v>
      </c>
      <c r="D5" s="89"/>
      <c r="E5" s="89" t="s">
        <v>869</v>
      </c>
      <c r="F5" s="89"/>
      <c r="G5" s="87" t="s">
        <v>870</v>
      </c>
      <c r="H5" s="87"/>
    </row>
    <row r="6" spans="1:8" ht="24" customHeight="1" x14ac:dyDescent="0.45">
      <c r="A6" s="85" t="s">
        <v>886</v>
      </c>
      <c r="B6" s="85"/>
      <c r="C6" s="85">
        <v>84.5</v>
      </c>
      <c r="D6" s="85"/>
      <c r="E6" s="85">
        <v>0</v>
      </c>
      <c r="F6" s="85"/>
      <c r="G6" s="85">
        <v>0</v>
      </c>
      <c r="H6" s="85"/>
    </row>
    <row r="9" spans="1:8" ht="18" customHeight="1" x14ac:dyDescent="0.35">
      <c r="A9" s="86" t="s">
        <v>871</v>
      </c>
      <c r="B9" s="86"/>
      <c r="C9" s="84" t="s">
        <v>872</v>
      </c>
      <c r="D9" s="84"/>
      <c r="E9" s="87" t="s">
        <v>874</v>
      </c>
      <c r="F9" s="87"/>
      <c r="G9" s="84" t="s">
        <v>875</v>
      </c>
      <c r="H9" s="84"/>
    </row>
    <row r="10" spans="1:8" ht="24" customHeight="1" x14ac:dyDescent="0.45">
      <c r="A10" s="85" t="s">
        <v>873</v>
      </c>
      <c r="B10" s="85"/>
      <c r="C10" s="85" t="s">
        <v>887</v>
      </c>
      <c r="D10" s="85"/>
      <c r="E10" s="85">
        <v>47</v>
      </c>
      <c r="F10" s="85"/>
      <c r="G10" s="85" t="s">
        <v>876</v>
      </c>
      <c r="H10" s="85"/>
    </row>
    <row r="14" spans="1:8" ht="15.5" x14ac:dyDescent="0.35">
      <c r="A14" s="60" t="s">
        <v>877</v>
      </c>
    </row>
    <row r="15" spans="1:8" x14ac:dyDescent="0.35">
      <c r="A15" s="61" t="s">
        <v>878</v>
      </c>
      <c r="B15" s="61" t="s">
        <v>879</v>
      </c>
      <c r="C15" s="61" t="s">
        <v>880</v>
      </c>
      <c r="D15" s="61" t="s">
        <v>17</v>
      </c>
    </row>
    <row r="16" spans="1:8" x14ac:dyDescent="0.35">
      <c r="A16" s="62" t="s">
        <v>869</v>
      </c>
      <c r="B16" s="62">
        <v>0</v>
      </c>
      <c r="C16" s="63">
        <v>0</v>
      </c>
      <c r="D16" s="62" t="s">
        <v>896</v>
      </c>
    </row>
    <row r="17" spans="1:4" x14ac:dyDescent="0.35">
      <c r="A17" s="64" t="s">
        <v>300</v>
      </c>
      <c r="B17" s="64">
        <v>1</v>
      </c>
      <c r="C17" s="65">
        <v>0.02</v>
      </c>
      <c r="D17" s="64" t="s">
        <v>897</v>
      </c>
    </row>
    <row r="18" spans="1:4" x14ac:dyDescent="0.35">
      <c r="A18" s="66" t="s">
        <v>863</v>
      </c>
      <c r="B18" s="66">
        <v>2</v>
      </c>
      <c r="C18" s="67">
        <v>0.04</v>
      </c>
      <c r="D18" s="66" t="s">
        <v>898</v>
      </c>
    </row>
    <row r="19" spans="1:4" x14ac:dyDescent="0.35">
      <c r="A19" s="68" t="s">
        <v>881</v>
      </c>
      <c r="B19" s="68">
        <v>47</v>
      </c>
      <c r="C19" s="69">
        <v>0.94</v>
      </c>
      <c r="D19" s="68" t="s">
        <v>899</v>
      </c>
    </row>
  </sheetData>
  <mergeCells count="18">
    <mergeCell ref="A1:H1"/>
    <mergeCell ref="A2:H2"/>
    <mergeCell ref="A5:B5"/>
    <mergeCell ref="A6:B6"/>
    <mergeCell ref="C5:D5"/>
    <mergeCell ref="C6:D6"/>
    <mergeCell ref="E5:F5"/>
    <mergeCell ref="E6:F6"/>
    <mergeCell ref="G5:H5"/>
    <mergeCell ref="G6:H6"/>
    <mergeCell ref="G9:H9"/>
    <mergeCell ref="G10:H10"/>
    <mergeCell ref="A9:B9"/>
    <mergeCell ref="A10:B10"/>
    <mergeCell ref="C9:D9"/>
    <mergeCell ref="C10:D10"/>
    <mergeCell ref="E9:F9"/>
    <mergeCell ref="E10:F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CF2A5-5245-4246-8E99-48ECA1D117B8}">
  <sheetPr codeName="Sheet16"/>
  <dimension ref="A1:O1"/>
  <sheetViews>
    <sheetView workbookViewId="0"/>
  </sheetViews>
  <sheetFormatPr defaultRowHeight="14.5" x14ac:dyDescent="0.35"/>
  <cols>
    <col min="1" max="1" width="31.08984375" customWidth="1"/>
    <col min="2" max="2" width="18.08984375" customWidth="1"/>
    <col min="3" max="3" width="23.7265625" customWidth="1"/>
    <col min="4" max="4" width="23.36328125" customWidth="1"/>
    <col min="5" max="5" width="27.1796875" customWidth="1"/>
    <col min="6" max="6" width="26.1796875" customWidth="1"/>
    <col min="7" max="7" width="26.7265625" customWidth="1"/>
    <col min="8" max="8" width="36" customWidth="1"/>
    <col min="9" max="9" width="28.54296875" customWidth="1"/>
    <col min="10" max="10" width="39" customWidth="1"/>
    <col min="11" max="11" width="27.7265625" customWidth="1"/>
    <col min="12" max="12" width="22" customWidth="1"/>
    <col min="13" max="13" width="27" customWidth="1"/>
    <col min="14" max="14" width="27.90625" customWidth="1"/>
    <col min="15" max="15" width="15.36328125" customWidth="1"/>
  </cols>
  <sheetData>
    <row r="1" spans="1:15" ht="24" customHeight="1" x14ac:dyDescent="0.35">
      <c r="A1" s="58" t="s">
        <v>15</v>
      </c>
      <c r="B1" s="58" t="s">
        <v>22</v>
      </c>
      <c r="C1" s="58" t="s">
        <v>82</v>
      </c>
      <c r="D1" s="58" t="s">
        <v>852</v>
      </c>
      <c r="E1" s="58" t="s">
        <v>853</v>
      </c>
      <c r="F1" s="58" t="s">
        <v>854</v>
      </c>
      <c r="G1" s="58" t="s">
        <v>855</v>
      </c>
      <c r="H1" s="58" t="s">
        <v>856</v>
      </c>
      <c r="I1" s="58" t="s">
        <v>857</v>
      </c>
      <c r="J1" s="58" t="s">
        <v>858</v>
      </c>
      <c r="K1" s="58" t="s">
        <v>859</v>
      </c>
      <c r="L1" s="58" t="s">
        <v>848</v>
      </c>
      <c r="M1" s="58" t="s">
        <v>860</v>
      </c>
      <c r="N1" s="58" t="s">
        <v>861</v>
      </c>
      <c r="O1" s="58" t="s">
        <v>14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21AC3-CEF3-4ADE-9AEA-51269D65E730}">
  <sheetPr codeName="Sheet15"/>
  <dimension ref="A1:P51"/>
  <sheetViews>
    <sheetView zoomScale="40" workbookViewId="0"/>
  </sheetViews>
  <sheetFormatPr defaultRowHeight="14.5" x14ac:dyDescent="0.35"/>
  <cols>
    <col min="1" max="1" width="26.7265625" customWidth="1"/>
    <col min="2" max="2" width="23.7265625" customWidth="1"/>
    <col min="3" max="3" width="20.453125" customWidth="1"/>
    <col min="4" max="4" width="18.453125" customWidth="1"/>
    <col min="5" max="5" width="20.36328125" customWidth="1"/>
    <col min="6" max="6" width="19.6328125" customWidth="1"/>
    <col min="7" max="7" width="20.26953125" customWidth="1"/>
    <col min="8" max="8" width="19.6328125" customWidth="1"/>
    <col min="9" max="9" width="21.54296875" customWidth="1"/>
    <col min="10" max="10" width="20.08984375" customWidth="1"/>
    <col min="11" max="11" width="23.90625" customWidth="1"/>
    <col min="12" max="12" width="20.08984375" customWidth="1"/>
    <col min="13" max="13" width="20.36328125" customWidth="1"/>
    <col min="14" max="14" width="21.1796875" customWidth="1"/>
    <col min="15" max="15" width="25.26953125" customWidth="1"/>
    <col min="16" max="16" width="46.453125" customWidth="1"/>
  </cols>
  <sheetData>
    <row r="1" spans="1:16" ht="24" customHeight="1" x14ac:dyDescent="0.35">
      <c r="A1" s="49" t="s">
        <v>15</v>
      </c>
      <c r="B1" s="49" t="s">
        <v>22</v>
      </c>
      <c r="C1" s="49" t="s">
        <v>82</v>
      </c>
      <c r="D1" s="49" t="s">
        <v>839</v>
      </c>
      <c r="E1" s="49" t="s">
        <v>843</v>
      </c>
      <c r="F1" s="49" t="s">
        <v>844</v>
      </c>
      <c r="G1" s="49" t="s">
        <v>845</v>
      </c>
      <c r="H1" s="49" t="s">
        <v>846</v>
      </c>
      <c r="I1" s="49" t="s">
        <v>840</v>
      </c>
      <c r="J1" s="49" t="s">
        <v>847</v>
      </c>
      <c r="K1" s="49" t="s">
        <v>90</v>
      </c>
      <c r="L1" s="49" t="s">
        <v>848</v>
      </c>
      <c r="M1" s="49" t="s">
        <v>849</v>
      </c>
      <c r="N1" s="49" t="s">
        <v>850</v>
      </c>
      <c r="O1" s="49" t="s">
        <v>297</v>
      </c>
      <c r="P1" s="49" t="s">
        <v>851</v>
      </c>
    </row>
    <row r="2" spans="1:16" x14ac:dyDescent="0.35">
      <c r="A2" s="70" t="s">
        <v>18</v>
      </c>
      <c r="B2" s="70"/>
      <c r="C2" s="70">
        <v>2573</v>
      </c>
      <c r="D2" s="70">
        <v>92.128888888888895</v>
      </c>
      <c r="E2" s="70">
        <v>90</v>
      </c>
      <c r="F2" s="70" t="s">
        <v>862</v>
      </c>
      <c r="G2" s="70">
        <v>0.93480000000000008</v>
      </c>
      <c r="H2" s="70" t="s">
        <v>862</v>
      </c>
      <c r="I2" s="70">
        <v>75.195999999999998</v>
      </c>
      <c r="J2" s="70">
        <v>0.2173333333333333</v>
      </c>
      <c r="K2" s="70">
        <v>0.81</v>
      </c>
      <c r="L2" s="70" t="s">
        <v>303</v>
      </c>
      <c r="M2" s="70">
        <v>86.607711111111115</v>
      </c>
      <c r="N2" s="70" t="s">
        <v>881</v>
      </c>
      <c r="O2" s="70" t="s">
        <v>864</v>
      </c>
      <c r="P2" s="70" t="s">
        <v>865</v>
      </c>
    </row>
    <row r="3" spans="1:16" x14ac:dyDescent="0.35">
      <c r="A3" s="70" t="s">
        <v>177</v>
      </c>
      <c r="B3" s="70"/>
      <c r="C3" s="70">
        <v>2573</v>
      </c>
      <c r="D3" s="70">
        <v>87.898777777777781</v>
      </c>
      <c r="E3" s="70">
        <v>90</v>
      </c>
      <c r="F3" s="70" t="s">
        <v>862</v>
      </c>
      <c r="G3" s="70">
        <v>0.98840000000000006</v>
      </c>
      <c r="H3" s="70" t="s">
        <v>862</v>
      </c>
      <c r="I3" s="70">
        <v>78.893000000000001</v>
      </c>
      <c r="J3" s="70">
        <v>0.27333333333333332</v>
      </c>
      <c r="K3" s="70">
        <v>0.755</v>
      </c>
      <c r="L3" s="70" t="s">
        <v>303</v>
      </c>
      <c r="M3" s="70">
        <v>88.029122222222227</v>
      </c>
      <c r="N3" s="70" t="s">
        <v>881</v>
      </c>
      <c r="O3" s="70" t="s">
        <v>864</v>
      </c>
      <c r="P3" s="70" t="s">
        <v>865</v>
      </c>
    </row>
    <row r="4" spans="1:16" x14ac:dyDescent="0.35">
      <c r="A4" s="70" t="s">
        <v>178</v>
      </c>
      <c r="B4" s="70"/>
      <c r="C4" s="70">
        <v>2573</v>
      </c>
      <c r="D4" s="70">
        <v>87.898777777777781</v>
      </c>
      <c r="E4" s="70">
        <v>90</v>
      </c>
      <c r="F4" s="70" t="s">
        <v>862</v>
      </c>
      <c r="G4" s="70">
        <v>0.98160000000000003</v>
      </c>
      <c r="H4" s="70" t="s">
        <v>862</v>
      </c>
      <c r="I4" s="70">
        <v>76.681999999999988</v>
      </c>
      <c r="J4" s="70">
        <v>0.25600000000000006</v>
      </c>
      <c r="K4" s="70">
        <v>0.86799999999999999</v>
      </c>
      <c r="L4" s="70" t="s">
        <v>303</v>
      </c>
      <c r="M4" s="70">
        <v>87.05127222222221</v>
      </c>
      <c r="N4" s="70" t="s">
        <v>881</v>
      </c>
      <c r="O4" s="70" t="s">
        <v>864</v>
      </c>
      <c r="P4" s="70" t="s">
        <v>865</v>
      </c>
    </row>
    <row r="5" spans="1:16" x14ac:dyDescent="0.35">
      <c r="A5" s="70" t="s">
        <v>179</v>
      </c>
      <c r="B5" s="70"/>
      <c r="C5" s="70">
        <v>2573</v>
      </c>
      <c r="D5" s="70">
        <v>87.898777777777781</v>
      </c>
      <c r="E5" s="70">
        <v>90</v>
      </c>
      <c r="F5" s="70" t="s">
        <v>862</v>
      </c>
      <c r="G5" s="70">
        <v>0.98880000000000001</v>
      </c>
      <c r="H5" s="70" t="s">
        <v>862</v>
      </c>
      <c r="I5" s="70">
        <v>75.376000000000005</v>
      </c>
      <c r="J5" s="70">
        <v>0.41866666666666663</v>
      </c>
      <c r="K5" s="70">
        <v>0.85599999999999998</v>
      </c>
      <c r="L5" s="70" t="s">
        <v>303</v>
      </c>
      <c r="M5" s="70">
        <v>86.810172222222221</v>
      </c>
      <c r="N5" s="70" t="s">
        <v>881</v>
      </c>
      <c r="O5" s="70" t="s">
        <v>864</v>
      </c>
      <c r="P5" s="70" t="s">
        <v>865</v>
      </c>
    </row>
    <row r="6" spans="1:16" x14ac:dyDescent="0.35">
      <c r="A6" s="70" t="s">
        <v>180</v>
      </c>
      <c r="B6" s="70"/>
      <c r="C6" s="70">
        <v>2573</v>
      </c>
      <c r="D6" s="70">
        <v>87.898777777777781</v>
      </c>
      <c r="E6" s="70">
        <v>90</v>
      </c>
      <c r="F6" s="70" t="s">
        <v>862</v>
      </c>
      <c r="G6" s="70">
        <v>0.94720000000000004</v>
      </c>
      <c r="H6" s="70" t="s">
        <v>862</v>
      </c>
      <c r="I6" s="70">
        <v>76.769000000000005</v>
      </c>
      <c r="J6" s="70">
        <v>0.36533333333333329</v>
      </c>
      <c r="K6" s="70">
        <v>0.85699999999999998</v>
      </c>
      <c r="L6" s="70" t="s">
        <v>303</v>
      </c>
      <c r="M6" s="70">
        <v>86.049722222222215</v>
      </c>
      <c r="N6" s="70" t="s">
        <v>881</v>
      </c>
      <c r="O6" s="70" t="s">
        <v>864</v>
      </c>
      <c r="P6" s="70" t="s">
        <v>865</v>
      </c>
    </row>
    <row r="7" spans="1:16" x14ac:dyDescent="0.35">
      <c r="A7" s="70" t="s">
        <v>181</v>
      </c>
      <c r="B7" s="70"/>
      <c r="C7" s="70">
        <v>2573</v>
      </c>
      <c r="D7" s="70">
        <v>92.128888888888895</v>
      </c>
      <c r="E7" s="70">
        <v>90</v>
      </c>
      <c r="F7" s="70" t="s">
        <v>862</v>
      </c>
      <c r="G7" s="70">
        <v>0.94120000000000004</v>
      </c>
      <c r="H7" s="70" t="s">
        <v>862</v>
      </c>
      <c r="I7" s="70">
        <v>71.448999999999998</v>
      </c>
      <c r="J7" s="70">
        <v>0.21333333333333335</v>
      </c>
      <c r="K7" s="70">
        <v>0.875</v>
      </c>
      <c r="L7" s="70" t="s">
        <v>303</v>
      </c>
      <c r="M7" s="70">
        <v>85.488261111111115</v>
      </c>
      <c r="N7" s="70" t="s">
        <v>881</v>
      </c>
      <c r="O7" s="70" t="s">
        <v>864</v>
      </c>
      <c r="P7" s="70" t="s">
        <v>865</v>
      </c>
    </row>
    <row r="8" spans="1:16" x14ac:dyDescent="0.35">
      <c r="A8" s="70" t="s">
        <v>182</v>
      </c>
      <c r="B8" s="70"/>
      <c r="C8" s="70">
        <v>2573</v>
      </c>
      <c r="D8" s="70">
        <v>88.325611111111115</v>
      </c>
      <c r="E8" s="70">
        <v>90</v>
      </c>
      <c r="F8" s="70" t="s">
        <v>862</v>
      </c>
      <c r="G8" s="70">
        <v>0.95920000000000005</v>
      </c>
      <c r="H8" s="70" t="s">
        <v>862</v>
      </c>
      <c r="I8" s="70">
        <v>73.284000000000006</v>
      </c>
      <c r="J8" s="70">
        <v>0.34266666666666673</v>
      </c>
      <c r="K8" s="70">
        <v>0.78600000000000003</v>
      </c>
      <c r="L8" s="70" t="s">
        <v>303</v>
      </c>
      <c r="M8" s="70">
        <v>85.339363888888883</v>
      </c>
      <c r="N8" s="70" t="s">
        <v>881</v>
      </c>
      <c r="O8" s="70" t="s">
        <v>864</v>
      </c>
      <c r="P8" s="70" t="s">
        <v>865</v>
      </c>
    </row>
    <row r="9" spans="1:16" x14ac:dyDescent="0.35">
      <c r="A9" s="70" t="s">
        <v>183</v>
      </c>
      <c r="B9" s="70"/>
      <c r="C9" s="70">
        <v>2573</v>
      </c>
      <c r="D9" s="70">
        <v>87.202611111111111</v>
      </c>
      <c r="E9" s="70">
        <v>90</v>
      </c>
      <c r="F9" s="70" t="s">
        <v>862</v>
      </c>
      <c r="G9" s="70">
        <v>0.93320000000000003</v>
      </c>
      <c r="H9" s="70" t="s">
        <v>862</v>
      </c>
      <c r="I9" s="70">
        <v>70.664000000000001</v>
      </c>
      <c r="J9" s="70">
        <v>0.28666666666666668</v>
      </c>
      <c r="K9" s="70">
        <v>0.9</v>
      </c>
      <c r="L9" s="70" t="s">
        <v>303</v>
      </c>
      <c r="M9" s="70">
        <v>83.249313888888892</v>
      </c>
      <c r="N9" s="70" t="s">
        <v>881</v>
      </c>
      <c r="O9" s="70" t="s">
        <v>864</v>
      </c>
      <c r="P9" s="70" t="s">
        <v>865</v>
      </c>
    </row>
    <row r="10" spans="1:16" x14ac:dyDescent="0.35">
      <c r="A10" s="70" t="s">
        <v>184</v>
      </c>
      <c r="B10" s="70"/>
      <c r="C10" s="70">
        <v>2573</v>
      </c>
      <c r="D10" s="70">
        <v>87.202611111111111</v>
      </c>
      <c r="E10" s="70">
        <v>90</v>
      </c>
      <c r="F10" s="70" t="s">
        <v>862</v>
      </c>
      <c r="G10" s="70">
        <v>0.95200000000000007</v>
      </c>
      <c r="H10" s="70" t="s">
        <v>862</v>
      </c>
      <c r="I10" s="70">
        <v>71.064999999999998</v>
      </c>
      <c r="J10" s="70">
        <v>0.2173333333333333</v>
      </c>
      <c r="K10" s="70">
        <v>0.83899999999999997</v>
      </c>
      <c r="L10" s="70" t="s">
        <v>303</v>
      </c>
      <c r="M10" s="70">
        <v>83.953663888888883</v>
      </c>
      <c r="N10" s="70" t="s">
        <v>881</v>
      </c>
      <c r="O10" s="70" t="s">
        <v>864</v>
      </c>
      <c r="P10" s="70" t="s">
        <v>865</v>
      </c>
    </row>
    <row r="11" spans="1:16" x14ac:dyDescent="0.35">
      <c r="A11" s="71" t="s">
        <v>185</v>
      </c>
      <c r="B11" s="71"/>
      <c r="C11" s="71">
        <v>2573</v>
      </c>
      <c r="D11" s="71">
        <v>87.898777777777781</v>
      </c>
      <c r="E11" s="71">
        <v>90</v>
      </c>
      <c r="F11" s="71" t="s">
        <v>862</v>
      </c>
      <c r="G11" s="71">
        <v>0.55720000000000003</v>
      </c>
      <c r="H11" s="71" t="s">
        <v>882</v>
      </c>
      <c r="I11" s="71">
        <v>33.894000000000005</v>
      </c>
      <c r="J11" s="71">
        <v>0.2573333333333333</v>
      </c>
      <c r="K11" s="71">
        <v>0.82</v>
      </c>
      <c r="L11" s="71" t="s">
        <v>303</v>
      </c>
      <c r="M11" s="71">
        <v>59.343472222222225</v>
      </c>
      <c r="N11" s="71" t="s">
        <v>300</v>
      </c>
      <c r="O11" s="71" t="s">
        <v>883</v>
      </c>
      <c r="P11" s="71" t="s">
        <v>865</v>
      </c>
    </row>
    <row r="12" spans="1:16" x14ac:dyDescent="0.35">
      <c r="A12" s="70" t="s">
        <v>310</v>
      </c>
      <c r="B12" s="70"/>
      <c r="C12" s="70">
        <v>2573</v>
      </c>
      <c r="D12" s="70">
        <v>87.268555555555551</v>
      </c>
      <c r="E12" s="70">
        <v>90</v>
      </c>
      <c r="F12" s="70" t="s">
        <v>862</v>
      </c>
      <c r="G12" s="70">
        <v>0.96760000000000002</v>
      </c>
      <c r="H12" s="70" t="s">
        <v>862</v>
      </c>
      <c r="I12" s="70">
        <v>76.00200000000001</v>
      </c>
      <c r="J12" s="70">
        <v>0.26533333333333331</v>
      </c>
      <c r="K12" s="70">
        <v>0.86399999999999999</v>
      </c>
      <c r="L12" s="70" t="s">
        <v>303</v>
      </c>
      <c r="M12" s="70">
        <v>86.172694444444446</v>
      </c>
      <c r="N12" s="70" t="s">
        <v>881</v>
      </c>
      <c r="O12" s="70" t="s">
        <v>864</v>
      </c>
      <c r="P12" s="70" t="s">
        <v>865</v>
      </c>
    </row>
    <row r="13" spans="1:16" x14ac:dyDescent="0.35">
      <c r="A13" s="70" t="s">
        <v>311</v>
      </c>
      <c r="B13" s="70"/>
      <c r="C13" s="70">
        <v>2573</v>
      </c>
      <c r="D13" s="70">
        <v>89.371833333333342</v>
      </c>
      <c r="E13" s="70">
        <v>90</v>
      </c>
      <c r="F13" s="70" t="s">
        <v>862</v>
      </c>
      <c r="G13" s="70">
        <v>0.97920000000000007</v>
      </c>
      <c r="H13" s="70" t="s">
        <v>862</v>
      </c>
      <c r="I13" s="70">
        <v>76.109000000000009</v>
      </c>
      <c r="J13" s="70">
        <v>0.40133333333333338</v>
      </c>
      <c r="K13" s="70">
        <v>0.77900000000000003</v>
      </c>
      <c r="L13" s="70" t="s">
        <v>303</v>
      </c>
      <c r="M13" s="70">
        <v>87.294291666666666</v>
      </c>
      <c r="N13" s="70" t="s">
        <v>881</v>
      </c>
      <c r="O13" s="70" t="s">
        <v>864</v>
      </c>
      <c r="P13" s="70" t="s">
        <v>865</v>
      </c>
    </row>
    <row r="14" spans="1:16" x14ac:dyDescent="0.35">
      <c r="A14" s="59" t="s">
        <v>312</v>
      </c>
      <c r="B14" s="59"/>
      <c r="C14" s="59">
        <v>2573</v>
      </c>
      <c r="D14" s="59">
        <v>88.325611111111115</v>
      </c>
      <c r="E14" s="59">
        <v>90</v>
      </c>
      <c r="F14" s="59" t="s">
        <v>862</v>
      </c>
      <c r="G14" s="59">
        <v>0.57640000000000002</v>
      </c>
      <c r="H14" s="59" t="s">
        <v>882</v>
      </c>
      <c r="I14" s="59">
        <v>35.453000000000003</v>
      </c>
      <c r="J14" s="59">
        <v>0.29600000000000004</v>
      </c>
      <c r="K14" s="59">
        <v>0.753</v>
      </c>
      <c r="L14" s="59" t="s">
        <v>303</v>
      </c>
      <c r="M14" s="59">
        <v>60.614513888888887</v>
      </c>
      <c r="N14" s="59" t="s">
        <v>863</v>
      </c>
      <c r="O14" s="59" t="s">
        <v>884</v>
      </c>
      <c r="P14" s="59" t="s">
        <v>865</v>
      </c>
    </row>
    <row r="15" spans="1:16" x14ac:dyDescent="0.35">
      <c r="A15" s="70" t="s">
        <v>313</v>
      </c>
      <c r="B15" s="70"/>
      <c r="C15" s="70">
        <v>2573</v>
      </c>
      <c r="D15" s="70">
        <v>92.128888888888895</v>
      </c>
      <c r="E15" s="70">
        <v>90</v>
      </c>
      <c r="F15" s="70" t="s">
        <v>862</v>
      </c>
      <c r="G15" s="70">
        <v>0.98080000000000001</v>
      </c>
      <c r="H15" s="70" t="s">
        <v>862</v>
      </c>
      <c r="I15" s="70">
        <v>77.641000000000005</v>
      </c>
      <c r="J15" s="70">
        <v>0.20399999999999996</v>
      </c>
      <c r="K15" s="70">
        <v>0.80899999999999994</v>
      </c>
      <c r="L15" s="70" t="s">
        <v>303</v>
      </c>
      <c r="M15" s="70">
        <v>88.843461111111111</v>
      </c>
      <c r="N15" s="70" t="s">
        <v>881</v>
      </c>
      <c r="O15" s="70" t="s">
        <v>864</v>
      </c>
      <c r="P15" s="70" t="s">
        <v>865</v>
      </c>
    </row>
    <row r="16" spans="1:16" x14ac:dyDescent="0.35">
      <c r="A16" s="70" t="s">
        <v>314</v>
      </c>
      <c r="B16" s="70"/>
      <c r="C16" s="70">
        <v>2573</v>
      </c>
      <c r="D16" s="70">
        <v>87.268555555555551</v>
      </c>
      <c r="E16" s="70">
        <v>90</v>
      </c>
      <c r="F16" s="70" t="s">
        <v>862</v>
      </c>
      <c r="G16" s="70">
        <v>0.97480000000000011</v>
      </c>
      <c r="H16" s="70" t="s">
        <v>862</v>
      </c>
      <c r="I16" s="70">
        <v>75.820999999999998</v>
      </c>
      <c r="J16" s="70">
        <v>0.28000000000000003</v>
      </c>
      <c r="K16" s="70">
        <v>0.76700000000000002</v>
      </c>
      <c r="L16" s="70" t="s">
        <v>303</v>
      </c>
      <c r="M16" s="70">
        <v>86.32534444444444</v>
      </c>
      <c r="N16" s="70" t="s">
        <v>881</v>
      </c>
      <c r="O16" s="70" t="s">
        <v>864</v>
      </c>
      <c r="P16" s="70" t="s">
        <v>865</v>
      </c>
    </row>
    <row r="17" spans="1:16" x14ac:dyDescent="0.35">
      <c r="A17" s="70" t="s">
        <v>315</v>
      </c>
      <c r="B17" s="70"/>
      <c r="C17" s="70">
        <v>2573</v>
      </c>
      <c r="D17" s="70">
        <v>87.202611111111111</v>
      </c>
      <c r="E17" s="70">
        <v>90</v>
      </c>
      <c r="F17" s="70" t="s">
        <v>862</v>
      </c>
      <c r="G17" s="70">
        <v>0.95240000000000002</v>
      </c>
      <c r="H17" s="70" t="s">
        <v>862</v>
      </c>
      <c r="I17" s="70">
        <v>78.022999999999996</v>
      </c>
      <c r="J17" s="70">
        <v>0.29600000000000004</v>
      </c>
      <c r="K17" s="70">
        <v>0.78100000000000003</v>
      </c>
      <c r="L17" s="70" t="s">
        <v>303</v>
      </c>
      <c r="M17" s="70">
        <v>86.400963888888882</v>
      </c>
      <c r="N17" s="70" t="s">
        <v>881</v>
      </c>
      <c r="O17" s="70" t="s">
        <v>864</v>
      </c>
      <c r="P17" s="70" t="s">
        <v>865</v>
      </c>
    </row>
    <row r="18" spans="1:16" x14ac:dyDescent="0.35">
      <c r="A18" s="70" t="s">
        <v>316</v>
      </c>
      <c r="B18" s="70"/>
      <c r="C18" s="70">
        <v>2573</v>
      </c>
      <c r="D18" s="70">
        <v>87.268555555555551</v>
      </c>
      <c r="E18" s="70">
        <v>90</v>
      </c>
      <c r="F18" s="70" t="s">
        <v>862</v>
      </c>
      <c r="G18" s="70">
        <v>0.94560000000000011</v>
      </c>
      <c r="H18" s="70" t="s">
        <v>862</v>
      </c>
      <c r="I18" s="70">
        <v>76.436999999999998</v>
      </c>
      <c r="J18" s="70">
        <v>0.43866666666666665</v>
      </c>
      <c r="K18" s="70">
        <v>0.82899999999999996</v>
      </c>
      <c r="L18" s="70" t="s">
        <v>303</v>
      </c>
      <c r="M18" s="70">
        <v>85.664944444444444</v>
      </c>
      <c r="N18" s="70" t="s">
        <v>881</v>
      </c>
      <c r="O18" s="70" t="s">
        <v>864</v>
      </c>
      <c r="P18" s="70" t="s">
        <v>865</v>
      </c>
    </row>
    <row r="19" spans="1:16" x14ac:dyDescent="0.35">
      <c r="A19" s="70" t="s">
        <v>317</v>
      </c>
      <c r="B19" s="70"/>
      <c r="C19" s="70">
        <v>2573</v>
      </c>
      <c r="D19" s="70">
        <v>89.371833333333342</v>
      </c>
      <c r="E19" s="70">
        <v>90</v>
      </c>
      <c r="F19" s="70" t="s">
        <v>862</v>
      </c>
      <c r="G19" s="70">
        <v>0.97560000000000002</v>
      </c>
      <c r="H19" s="70" t="s">
        <v>862</v>
      </c>
      <c r="I19" s="70">
        <v>77.462000000000003</v>
      </c>
      <c r="J19" s="70">
        <v>0.312</v>
      </c>
      <c r="K19" s="70">
        <v>0.76200000000000001</v>
      </c>
      <c r="L19" s="70" t="s">
        <v>303</v>
      </c>
      <c r="M19" s="70">
        <v>87.659841666666665</v>
      </c>
      <c r="N19" s="70" t="s">
        <v>881</v>
      </c>
      <c r="O19" s="70" t="s">
        <v>864</v>
      </c>
      <c r="P19" s="70" t="s">
        <v>865</v>
      </c>
    </row>
    <row r="20" spans="1:16" x14ac:dyDescent="0.35">
      <c r="A20" s="70" t="s">
        <v>318</v>
      </c>
      <c r="B20" s="70"/>
      <c r="C20" s="70">
        <v>2573</v>
      </c>
      <c r="D20" s="70">
        <v>88.325611111111115</v>
      </c>
      <c r="E20" s="70">
        <v>90</v>
      </c>
      <c r="F20" s="70" t="s">
        <v>862</v>
      </c>
      <c r="G20" s="70">
        <v>0.92560000000000009</v>
      </c>
      <c r="H20" s="70" t="s">
        <v>862</v>
      </c>
      <c r="I20" s="70">
        <v>74.236999999999995</v>
      </c>
      <c r="J20" s="70">
        <v>0.41866666666666663</v>
      </c>
      <c r="K20" s="70">
        <v>0.86099999999999999</v>
      </c>
      <c r="L20" s="70" t="s">
        <v>303</v>
      </c>
      <c r="M20" s="70">
        <v>84.66491388888889</v>
      </c>
      <c r="N20" s="70" t="s">
        <v>881</v>
      </c>
      <c r="O20" s="70" t="s">
        <v>864</v>
      </c>
      <c r="P20" s="70" t="s">
        <v>865</v>
      </c>
    </row>
    <row r="21" spans="1:16" x14ac:dyDescent="0.35">
      <c r="A21" s="70" t="s">
        <v>319</v>
      </c>
      <c r="B21" s="70"/>
      <c r="C21" s="70">
        <v>2573</v>
      </c>
      <c r="D21" s="70">
        <v>87.898777777777781</v>
      </c>
      <c r="E21" s="70">
        <v>90</v>
      </c>
      <c r="F21" s="70" t="s">
        <v>862</v>
      </c>
      <c r="G21" s="70">
        <v>0.97200000000000009</v>
      </c>
      <c r="H21" s="70" t="s">
        <v>862</v>
      </c>
      <c r="I21" s="70">
        <v>74.89</v>
      </c>
      <c r="J21" s="70">
        <v>0.36</v>
      </c>
      <c r="K21" s="70">
        <v>0.85199999999999998</v>
      </c>
      <c r="L21" s="70" t="s">
        <v>303</v>
      </c>
      <c r="M21" s="70">
        <v>86.136072222222225</v>
      </c>
      <c r="N21" s="70" t="s">
        <v>881</v>
      </c>
      <c r="O21" s="70" t="s">
        <v>864</v>
      </c>
      <c r="P21" s="70" t="s">
        <v>865</v>
      </c>
    </row>
    <row r="22" spans="1:16" x14ac:dyDescent="0.35">
      <c r="A22" s="70" t="s">
        <v>320</v>
      </c>
      <c r="B22" s="70"/>
      <c r="C22" s="70">
        <v>2573</v>
      </c>
      <c r="D22" s="70">
        <v>92.128888888888895</v>
      </c>
      <c r="E22" s="70">
        <v>90</v>
      </c>
      <c r="F22" s="70" t="s">
        <v>862</v>
      </c>
      <c r="G22" s="70">
        <v>0.93920000000000003</v>
      </c>
      <c r="H22" s="70" t="s">
        <v>862</v>
      </c>
      <c r="I22" s="70">
        <v>72.784000000000006</v>
      </c>
      <c r="J22" s="70">
        <v>0.43600000000000005</v>
      </c>
      <c r="K22" s="70">
        <v>0.84</v>
      </c>
      <c r="L22" s="70" t="s">
        <v>303</v>
      </c>
      <c r="M22" s="70">
        <v>85.895511111111105</v>
      </c>
      <c r="N22" s="70" t="s">
        <v>881</v>
      </c>
      <c r="O22" s="70" t="s">
        <v>864</v>
      </c>
      <c r="P22" s="70" t="s">
        <v>865</v>
      </c>
    </row>
    <row r="23" spans="1:16" x14ac:dyDescent="0.35">
      <c r="A23" s="70" t="s">
        <v>321</v>
      </c>
      <c r="B23" s="70"/>
      <c r="C23" s="70">
        <v>2573</v>
      </c>
      <c r="D23" s="70">
        <v>89.371833333333342</v>
      </c>
      <c r="E23" s="70">
        <v>90</v>
      </c>
      <c r="F23" s="70" t="s">
        <v>862</v>
      </c>
      <c r="G23" s="70">
        <v>0.9708</v>
      </c>
      <c r="H23" s="70" t="s">
        <v>862</v>
      </c>
      <c r="I23" s="70">
        <v>71.216000000000008</v>
      </c>
      <c r="J23" s="70">
        <v>0.26</v>
      </c>
      <c r="K23" s="70">
        <v>0.84799999999999998</v>
      </c>
      <c r="L23" s="70" t="s">
        <v>303</v>
      </c>
      <c r="M23" s="70">
        <v>85.329741666666663</v>
      </c>
      <c r="N23" s="70" t="s">
        <v>881</v>
      </c>
      <c r="O23" s="70" t="s">
        <v>864</v>
      </c>
      <c r="P23" s="70" t="s">
        <v>865</v>
      </c>
    </row>
    <row r="24" spans="1:16" x14ac:dyDescent="0.35">
      <c r="A24" s="70" t="s">
        <v>322</v>
      </c>
      <c r="B24" s="70"/>
      <c r="C24" s="70">
        <v>2573</v>
      </c>
      <c r="D24" s="70">
        <v>92.128888888888895</v>
      </c>
      <c r="E24" s="70">
        <v>90</v>
      </c>
      <c r="F24" s="70" t="s">
        <v>862</v>
      </c>
      <c r="G24" s="70">
        <v>0.95480000000000009</v>
      </c>
      <c r="H24" s="70" t="s">
        <v>862</v>
      </c>
      <c r="I24" s="70">
        <v>71.921000000000006</v>
      </c>
      <c r="J24" s="70">
        <v>0.29600000000000004</v>
      </c>
      <c r="K24" s="70">
        <v>0.79700000000000004</v>
      </c>
      <c r="L24" s="70" t="s">
        <v>303</v>
      </c>
      <c r="M24" s="70">
        <v>86.061461111111115</v>
      </c>
      <c r="N24" s="70" t="s">
        <v>881</v>
      </c>
      <c r="O24" s="70" t="s">
        <v>864</v>
      </c>
      <c r="P24" s="70" t="s">
        <v>865</v>
      </c>
    </row>
    <row r="25" spans="1:16" x14ac:dyDescent="0.35">
      <c r="A25" s="70" t="s">
        <v>323</v>
      </c>
      <c r="B25" s="70"/>
      <c r="C25" s="70">
        <v>2573</v>
      </c>
      <c r="D25" s="70">
        <v>87.898777777777781</v>
      </c>
      <c r="E25" s="70">
        <v>90</v>
      </c>
      <c r="F25" s="70" t="s">
        <v>862</v>
      </c>
      <c r="G25" s="70">
        <v>0.93800000000000006</v>
      </c>
      <c r="H25" s="70" t="s">
        <v>862</v>
      </c>
      <c r="I25" s="70">
        <v>70.234999999999999</v>
      </c>
      <c r="J25" s="70">
        <v>0.43333333333333335</v>
      </c>
      <c r="K25" s="70">
        <v>0.86099999999999999</v>
      </c>
      <c r="L25" s="70" t="s">
        <v>303</v>
      </c>
      <c r="M25" s="70">
        <v>83.486822222222216</v>
      </c>
      <c r="N25" s="70" t="s">
        <v>881</v>
      </c>
      <c r="O25" s="70" t="s">
        <v>864</v>
      </c>
      <c r="P25" s="70" t="s">
        <v>865</v>
      </c>
    </row>
    <row r="26" spans="1:16" x14ac:dyDescent="0.35">
      <c r="A26" s="70" t="s">
        <v>324</v>
      </c>
      <c r="B26" s="70"/>
      <c r="C26" s="70">
        <v>2573</v>
      </c>
      <c r="D26" s="70">
        <v>89.371833333333342</v>
      </c>
      <c r="E26" s="70">
        <v>90</v>
      </c>
      <c r="F26" s="70" t="s">
        <v>862</v>
      </c>
      <c r="G26" s="70">
        <v>0.96560000000000001</v>
      </c>
      <c r="H26" s="70" t="s">
        <v>862</v>
      </c>
      <c r="I26" s="70">
        <v>71.762</v>
      </c>
      <c r="J26" s="70">
        <v>0.24800000000000003</v>
      </c>
      <c r="K26" s="70">
        <v>0.86199999999999999</v>
      </c>
      <c r="L26" s="70" t="s">
        <v>303</v>
      </c>
      <c r="M26" s="70">
        <v>85.364841666666663</v>
      </c>
      <c r="N26" s="70" t="s">
        <v>881</v>
      </c>
      <c r="O26" s="70" t="s">
        <v>864</v>
      </c>
      <c r="P26" s="70" t="s">
        <v>865</v>
      </c>
    </row>
    <row r="27" spans="1:16" x14ac:dyDescent="0.35">
      <c r="A27" s="70" t="s">
        <v>325</v>
      </c>
      <c r="B27" s="70"/>
      <c r="C27" s="70">
        <v>2573</v>
      </c>
      <c r="D27" s="70">
        <v>87.202611111111111</v>
      </c>
      <c r="E27" s="70">
        <v>90</v>
      </c>
      <c r="F27" s="70" t="s">
        <v>862</v>
      </c>
      <c r="G27" s="70">
        <v>0.93320000000000003</v>
      </c>
      <c r="H27" s="70" t="s">
        <v>862</v>
      </c>
      <c r="I27" s="70">
        <v>76.213999999999999</v>
      </c>
      <c r="J27" s="70">
        <v>0.39866666666666667</v>
      </c>
      <c r="K27" s="70">
        <v>0.77800000000000002</v>
      </c>
      <c r="L27" s="70" t="s">
        <v>303</v>
      </c>
      <c r="M27" s="70">
        <v>85.191813888888888</v>
      </c>
      <c r="N27" s="70" t="s">
        <v>881</v>
      </c>
      <c r="O27" s="70" t="s">
        <v>864</v>
      </c>
      <c r="P27" s="70" t="s">
        <v>865</v>
      </c>
    </row>
    <row r="28" spans="1:16" x14ac:dyDescent="0.35">
      <c r="A28" s="70" t="s">
        <v>326</v>
      </c>
      <c r="B28" s="70"/>
      <c r="C28" s="70">
        <v>2573</v>
      </c>
      <c r="D28" s="70">
        <v>89.371833333333342</v>
      </c>
      <c r="E28" s="70">
        <v>90</v>
      </c>
      <c r="F28" s="70" t="s">
        <v>862</v>
      </c>
      <c r="G28" s="70">
        <v>0.94400000000000006</v>
      </c>
      <c r="H28" s="70" t="s">
        <v>862</v>
      </c>
      <c r="I28" s="70">
        <v>74.180000000000007</v>
      </c>
      <c r="J28" s="70">
        <v>0.46399999999999997</v>
      </c>
      <c r="K28" s="70">
        <v>0.75800000000000001</v>
      </c>
      <c r="L28" s="70" t="s">
        <v>303</v>
      </c>
      <c r="M28" s="70">
        <v>85.563141666666667</v>
      </c>
      <c r="N28" s="70" t="s">
        <v>881</v>
      </c>
      <c r="O28" s="70" t="s">
        <v>864</v>
      </c>
      <c r="P28" s="70" t="s">
        <v>865</v>
      </c>
    </row>
    <row r="29" spans="1:16" x14ac:dyDescent="0.35">
      <c r="A29" s="70" t="s">
        <v>327</v>
      </c>
      <c r="B29" s="70"/>
      <c r="C29" s="70">
        <v>2573</v>
      </c>
      <c r="D29" s="70">
        <v>87.202611111111111</v>
      </c>
      <c r="E29" s="70">
        <v>90</v>
      </c>
      <c r="F29" s="70" t="s">
        <v>862</v>
      </c>
      <c r="G29" s="70">
        <v>0.93320000000000003</v>
      </c>
      <c r="H29" s="70" t="s">
        <v>862</v>
      </c>
      <c r="I29" s="70">
        <v>72.189000000000007</v>
      </c>
      <c r="J29" s="70">
        <v>0.23199999999999998</v>
      </c>
      <c r="K29" s="70">
        <v>0.77900000000000003</v>
      </c>
      <c r="L29" s="70" t="s">
        <v>303</v>
      </c>
      <c r="M29" s="70">
        <v>83.78306388888889</v>
      </c>
      <c r="N29" s="70" t="s">
        <v>881</v>
      </c>
      <c r="O29" s="70" t="s">
        <v>864</v>
      </c>
      <c r="P29" s="70" t="s">
        <v>865</v>
      </c>
    </row>
    <row r="30" spans="1:16" x14ac:dyDescent="0.35">
      <c r="A30" s="70" t="s">
        <v>328</v>
      </c>
      <c r="B30" s="70"/>
      <c r="C30" s="70">
        <v>2573</v>
      </c>
      <c r="D30" s="70">
        <v>92.128888888888895</v>
      </c>
      <c r="E30" s="70">
        <v>90</v>
      </c>
      <c r="F30" s="70" t="s">
        <v>862</v>
      </c>
      <c r="G30" s="70">
        <v>0.9748</v>
      </c>
      <c r="H30" s="70" t="s">
        <v>862</v>
      </c>
      <c r="I30" s="70">
        <v>69.870999999999995</v>
      </c>
      <c r="J30" s="70">
        <v>0.28399999999999997</v>
      </c>
      <c r="K30" s="70">
        <v>0.89500000000000002</v>
      </c>
      <c r="L30" s="70" t="s">
        <v>303</v>
      </c>
      <c r="M30" s="70">
        <v>85.943961111111108</v>
      </c>
      <c r="N30" s="70" t="s">
        <v>881</v>
      </c>
      <c r="O30" s="70" t="s">
        <v>864</v>
      </c>
      <c r="P30" s="70" t="s">
        <v>865</v>
      </c>
    </row>
    <row r="31" spans="1:16" x14ac:dyDescent="0.35">
      <c r="A31" s="70" t="s">
        <v>329</v>
      </c>
      <c r="B31" s="70"/>
      <c r="C31" s="70">
        <v>2573</v>
      </c>
      <c r="D31" s="70">
        <v>92.128888888888895</v>
      </c>
      <c r="E31" s="70">
        <v>90</v>
      </c>
      <c r="F31" s="70" t="s">
        <v>862</v>
      </c>
      <c r="G31" s="70">
        <v>0.96240000000000003</v>
      </c>
      <c r="H31" s="70" t="s">
        <v>862</v>
      </c>
      <c r="I31" s="70">
        <v>76.522999999999996</v>
      </c>
      <c r="J31" s="70">
        <v>0.45333333333333331</v>
      </c>
      <c r="K31" s="70">
        <v>0.75900000000000001</v>
      </c>
      <c r="L31" s="70" t="s">
        <v>303</v>
      </c>
      <c r="M31" s="70">
        <v>87.900161111111103</v>
      </c>
      <c r="N31" s="70" t="s">
        <v>881</v>
      </c>
      <c r="O31" s="70" t="s">
        <v>864</v>
      </c>
      <c r="P31" s="70" t="s">
        <v>865</v>
      </c>
    </row>
    <row r="32" spans="1:16" x14ac:dyDescent="0.35">
      <c r="A32" s="70" t="s">
        <v>330</v>
      </c>
      <c r="B32" s="70"/>
      <c r="C32" s="70">
        <v>2573</v>
      </c>
      <c r="D32" s="70">
        <v>87.898777777777781</v>
      </c>
      <c r="E32" s="70">
        <v>90</v>
      </c>
      <c r="F32" s="70" t="s">
        <v>862</v>
      </c>
      <c r="G32" s="70">
        <v>0.94640000000000002</v>
      </c>
      <c r="H32" s="70" t="s">
        <v>862</v>
      </c>
      <c r="I32" s="70">
        <v>75.052999999999997</v>
      </c>
      <c r="J32" s="70">
        <v>0.40399999999999997</v>
      </c>
      <c r="K32" s="70">
        <v>0.82499999999999996</v>
      </c>
      <c r="L32" s="70" t="s">
        <v>303</v>
      </c>
      <c r="M32" s="70">
        <v>85.425122222222214</v>
      </c>
      <c r="N32" s="70" t="s">
        <v>881</v>
      </c>
      <c r="O32" s="70" t="s">
        <v>864</v>
      </c>
      <c r="P32" s="70" t="s">
        <v>865</v>
      </c>
    </row>
    <row r="33" spans="1:16" x14ac:dyDescent="0.35">
      <c r="A33" s="70" t="s">
        <v>331</v>
      </c>
      <c r="B33" s="70"/>
      <c r="C33" s="70">
        <v>2573</v>
      </c>
      <c r="D33" s="70">
        <v>87.268555555555551</v>
      </c>
      <c r="E33" s="70">
        <v>90</v>
      </c>
      <c r="F33" s="70" t="s">
        <v>862</v>
      </c>
      <c r="G33" s="70">
        <v>0.96840000000000004</v>
      </c>
      <c r="H33" s="70" t="s">
        <v>862</v>
      </c>
      <c r="I33" s="70">
        <v>79.643000000000001</v>
      </c>
      <c r="J33" s="70">
        <v>0.3746666666666667</v>
      </c>
      <c r="K33" s="70">
        <v>0.76900000000000002</v>
      </c>
      <c r="L33" s="70" t="s">
        <v>303</v>
      </c>
      <c r="M33" s="70">
        <v>87.471044444444445</v>
      </c>
      <c r="N33" s="70" t="s">
        <v>881</v>
      </c>
      <c r="O33" s="70" t="s">
        <v>864</v>
      </c>
      <c r="P33" s="70" t="s">
        <v>865</v>
      </c>
    </row>
    <row r="34" spans="1:16" x14ac:dyDescent="0.35">
      <c r="A34" s="70" t="s">
        <v>332</v>
      </c>
      <c r="B34" s="70"/>
      <c r="C34" s="70">
        <v>2573</v>
      </c>
      <c r="D34" s="70">
        <v>87.268555555555551</v>
      </c>
      <c r="E34" s="70">
        <v>90</v>
      </c>
      <c r="F34" s="70" t="s">
        <v>862</v>
      </c>
      <c r="G34" s="70">
        <v>0.99280000000000002</v>
      </c>
      <c r="H34" s="70" t="s">
        <v>862</v>
      </c>
      <c r="I34" s="70">
        <v>75.855999999999995</v>
      </c>
      <c r="J34" s="70">
        <v>0.43333333333333335</v>
      </c>
      <c r="K34" s="70">
        <v>0.89</v>
      </c>
      <c r="L34" s="70" t="s">
        <v>303</v>
      </c>
      <c r="M34" s="70">
        <v>86.877594444444441</v>
      </c>
      <c r="N34" s="70" t="s">
        <v>881</v>
      </c>
      <c r="O34" s="70" t="s">
        <v>864</v>
      </c>
      <c r="P34" s="70" t="s">
        <v>865</v>
      </c>
    </row>
    <row r="35" spans="1:16" x14ac:dyDescent="0.35">
      <c r="A35" s="70" t="s">
        <v>333</v>
      </c>
      <c r="B35" s="70"/>
      <c r="C35" s="70">
        <v>2573</v>
      </c>
      <c r="D35" s="70">
        <v>92.128888888888895</v>
      </c>
      <c r="E35" s="70">
        <v>90</v>
      </c>
      <c r="F35" s="70" t="s">
        <v>862</v>
      </c>
      <c r="G35" s="70">
        <v>0.96760000000000002</v>
      </c>
      <c r="H35" s="70" t="s">
        <v>862</v>
      </c>
      <c r="I35" s="70">
        <v>74.926999999999992</v>
      </c>
      <c r="J35" s="70">
        <v>0.31866666666666665</v>
      </c>
      <c r="K35" s="70">
        <v>0.89700000000000002</v>
      </c>
      <c r="L35" s="70" t="s">
        <v>303</v>
      </c>
      <c r="M35" s="70">
        <v>87.497561111111111</v>
      </c>
      <c r="N35" s="70" t="s">
        <v>881</v>
      </c>
      <c r="O35" s="70" t="s">
        <v>864</v>
      </c>
      <c r="P35" s="70" t="s">
        <v>865</v>
      </c>
    </row>
    <row r="36" spans="1:16" x14ac:dyDescent="0.35">
      <c r="A36" s="70" t="s">
        <v>334</v>
      </c>
      <c r="B36" s="70"/>
      <c r="C36" s="70">
        <v>2573</v>
      </c>
      <c r="D36" s="70">
        <v>88.325611111111115</v>
      </c>
      <c r="E36" s="70">
        <v>90</v>
      </c>
      <c r="F36" s="70" t="s">
        <v>862</v>
      </c>
      <c r="G36" s="70">
        <v>0.95920000000000005</v>
      </c>
      <c r="H36" s="70" t="s">
        <v>862</v>
      </c>
      <c r="I36" s="70">
        <v>75.884</v>
      </c>
      <c r="J36" s="70">
        <v>0.39066666666666661</v>
      </c>
      <c r="K36" s="70">
        <v>0.89200000000000002</v>
      </c>
      <c r="L36" s="70" t="s">
        <v>303</v>
      </c>
      <c r="M36" s="70">
        <v>86.249363888888894</v>
      </c>
      <c r="N36" s="70" t="s">
        <v>881</v>
      </c>
      <c r="O36" s="70" t="s">
        <v>864</v>
      </c>
      <c r="P36" s="70" t="s">
        <v>865</v>
      </c>
    </row>
    <row r="37" spans="1:16" x14ac:dyDescent="0.35">
      <c r="A37" s="59" t="s">
        <v>335</v>
      </c>
      <c r="B37" s="59"/>
      <c r="C37" s="59">
        <v>2573</v>
      </c>
      <c r="D37" s="59">
        <v>88.325611111111115</v>
      </c>
      <c r="E37" s="59">
        <v>90</v>
      </c>
      <c r="F37" s="59" t="s">
        <v>862</v>
      </c>
      <c r="G37" s="59">
        <v>0.58360000000000001</v>
      </c>
      <c r="H37" s="59" t="s">
        <v>882</v>
      </c>
      <c r="I37" s="59">
        <v>37.722000000000001</v>
      </c>
      <c r="J37" s="59">
        <v>0.38666666666666666</v>
      </c>
      <c r="K37" s="59">
        <v>0.80800000000000005</v>
      </c>
      <c r="L37" s="59" t="s">
        <v>303</v>
      </c>
      <c r="M37" s="59">
        <v>61.62466388888889</v>
      </c>
      <c r="N37" s="59" t="s">
        <v>863</v>
      </c>
      <c r="O37" s="59" t="s">
        <v>884</v>
      </c>
      <c r="P37" s="59" t="s">
        <v>865</v>
      </c>
    </row>
    <row r="38" spans="1:16" x14ac:dyDescent="0.35">
      <c r="A38" s="70" t="s">
        <v>336</v>
      </c>
      <c r="B38" s="70"/>
      <c r="C38" s="70">
        <v>2573</v>
      </c>
      <c r="D38" s="70">
        <v>87.268555555555551</v>
      </c>
      <c r="E38" s="70">
        <v>90</v>
      </c>
      <c r="F38" s="70" t="s">
        <v>862</v>
      </c>
      <c r="G38" s="70">
        <v>0.96600000000000008</v>
      </c>
      <c r="H38" s="70" t="s">
        <v>862</v>
      </c>
      <c r="I38" s="70">
        <v>77.87</v>
      </c>
      <c r="J38" s="70">
        <v>0.29066666666666663</v>
      </c>
      <c r="K38" s="70">
        <v>0.75800000000000001</v>
      </c>
      <c r="L38" s="70" t="s">
        <v>303</v>
      </c>
      <c r="M38" s="70">
        <v>86.778494444444448</v>
      </c>
      <c r="N38" s="70" t="s">
        <v>881</v>
      </c>
      <c r="O38" s="70" t="s">
        <v>864</v>
      </c>
      <c r="P38" s="70" t="s">
        <v>865</v>
      </c>
    </row>
    <row r="39" spans="1:16" x14ac:dyDescent="0.35">
      <c r="A39" s="70" t="s">
        <v>337</v>
      </c>
      <c r="B39" s="70"/>
      <c r="C39" s="70">
        <v>2573</v>
      </c>
      <c r="D39" s="70">
        <v>87.202611111111111</v>
      </c>
      <c r="E39" s="70">
        <v>90</v>
      </c>
      <c r="F39" s="70" t="s">
        <v>862</v>
      </c>
      <c r="G39" s="70">
        <v>0.93440000000000012</v>
      </c>
      <c r="H39" s="70" t="s">
        <v>862</v>
      </c>
      <c r="I39" s="70">
        <v>72.313000000000002</v>
      </c>
      <c r="J39" s="70">
        <v>0.40399999999999997</v>
      </c>
      <c r="K39" s="70">
        <v>0.86499999999999999</v>
      </c>
      <c r="L39" s="70" t="s">
        <v>303</v>
      </c>
      <c r="M39" s="70">
        <v>83.862463888888882</v>
      </c>
      <c r="N39" s="70" t="s">
        <v>881</v>
      </c>
      <c r="O39" s="70" t="s">
        <v>864</v>
      </c>
      <c r="P39" s="70" t="s">
        <v>865</v>
      </c>
    </row>
    <row r="40" spans="1:16" x14ac:dyDescent="0.35">
      <c r="A40" s="70" t="s">
        <v>338</v>
      </c>
      <c r="B40" s="70"/>
      <c r="C40" s="70">
        <v>2573</v>
      </c>
      <c r="D40" s="70">
        <v>87.898777777777781</v>
      </c>
      <c r="E40" s="70">
        <v>90</v>
      </c>
      <c r="F40" s="70" t="s">
        <v>862</v>
      </c>
      <c r="G40" s="70">
        <v>0.97440000000000004</v>
      </c>
      <c r="H40" s="70" t="s">
        <v>862</v>
      </c>
      <c r="I40" s="70">
        <v>72.188000000000002</v>
      </c>
      <c r="J40" s="70">
        <v>0.35733333333333328</v>
      </c>
      <c r="K40" s="70">
        <v>0.872</v>
      </c>
      <c r="L40" s="70" t="s">
        <v>303</v>
      </c>
      <c r="M40" s="70">
        <v>85.262372222222226</v>
      </c>
      <c r="N40" s="70" t="s">
        <v>881</v>
      </c>
      <c r="O40" s="70" t="s">
        <v>864</v>
      </c>
      <c r="P40" s="70" t="s">
        <v>865</v>
      </c>
    </row>
    <row r="41" spans="1:16" x14ac:dyDescent="0.35">
      <c r="A41" s="70" t="s">
        <v>339</v>
      </c>
      <c r="B41" s="70"/>
      <c r="C41" s="70">
        <v>2573</v>
      </c>
      <c r="D41" s="70">
        <v>89.371833333333342</v>
      </c>
      <c r="E41" s="70">
        <v>90</v>
      </c>
      <c r="F41" s="70" t="s">
        <v>862</v>
      </c>
      <c r="G41" s="70">
        <v>0.96160000000000001</v>
      </c>
      <c r="H41" s="70" t="s">
        <v>862</v>
      </c>
      <c r="I41" s="70">
        <v>76.581999999999994</v>
      </c>
      <c r="J41" s="70">
        <v>0.42933333333333334</v>
      </c>
      <c r="K41" s="70">
        <v>0.78600000000000003</v>
      </c>
      <c r="L41" s="70" t="s">
        <v>303</v>
      </c>
      <c r="M41" s="70">
        <v>86.931841666666656</v>
      </c>
      <c r="N41" s="70" t="s">
        <v>881</v>
      </c>
      <c r="O41" s="70" t="s">
        <v>864</v>
      </c>
      <c r="P41" s="70" t="s">
        <v>865</v>
      </c>
    </row>
    <row r="42" spans="1:16" x14ac:dyDescent="0.35">
      <c r="A42" s="70" t="s">
        <v>340</v>
      </c>
      <c r="B42" s="70"/>
      <c r="C42" s="70">
        <v>2573</v>
      </c>
      <c r="D42" s="70">
        <v>87.898777777777781</v>
      </c>
      <c r="E42" s="70">
        <v>90</v>
      </c>
      <c r="F42" s="70" t="s">
        <v>862</v>
      </c>
      <c r="G42" s="70">
        <v>0.97360000000000013</v>
      </c>
      <c r="H42" s="70" t="s">
        <v>862</v>
      </c>
      <c r="I42" s="70">
        <v>72.447000000000003</v>
      </c>
      <c r="J42" s="70">
        <v>0.31466666666666671</v>
      </c>
      <c r="K42" s="70">
        <v>0.89100000000000001</v>
      </c>
      <c r="L42" s="70" t="s">
        <v>303</v>
      </c>
      <c r="M42" s="70">
        <v>85.329022222222221</v>
      </c>
      <c r="N42" s="70" t="s">
        <v>881</v>
      </c>
      <c r="O42" s="70" t="s">
        <v>864</v>
      </c>
      <c r="P42" s="70" t="s">
        <v>865</v>
      </c>
    </row>
    <row r="43" spans="1:16" x14ac:dyDescent="0.35">
      <c r="A43" s="70" t="s">
        <v>341</v>
      </c>
      <c r="B43" s="70"/>
      <c r="C43" s="70">
        <v>2573</v>
      </c>
      <c r="D43" s="70">
        <v>87.268555555555551</v>
      </c>
      <c r="E43" s="70">
        <v>90</v>
      </c>
      <c r="F43" s="70" t="s">
        <v>862</v>
      </c>
      <c r="G43" s="70">
        <v>0.9728</v>
      </c>
      <c r="H43" s="70" t="s">
        <v>862</v>
      </c>
      <c r="I43" s="70">
        <v>70.506</v>
      </c>
      <c r="J43" s="70">
        <v>0.32533333333333331</v>
      </c>
      <c r="K43" s="70">
        <v>0.88800000000000001</v>
      </c>
      <c r="L43" s="70" t="s">
        <v>303</v>
      </c>
      <c r="M43" s="70">
        <v>84.405094444444444</v>
      </c>
      <c r="N43" s="70" t="s">
        <v>881</v>
      </c>
      <c r="O43" s="70" t="s">
        <v>864</v>
      </c>
      <c r="P43" s="70" t="s">
        <v>865</v>
      </c>
    </row>
    <row r="44" spans="1:16" x14ac:dyDescent="0.35">
      <c r="A44" s="70" t="s">
        <v>342</v>
      </c>
      <c r="B44" s="70"/>
      <c r="C44" s="70">
        <v>2573</v>
      </c>
      <c r="D44" s="70">
        <v>89.371833333333342</v>
      </c>
      <c r="E44" s="70">
        <v>90</v>
      </c>
      <c r="F44" s="70" t="s">
        <v>862</v>
      </c>
      <c r="G44" s="70">
        <v>0.9840000000000001</v>
      </c>
      <c r="H44" s="70" t="s">
        <v>862</v>
      </c>
      <c r="I44" s="70">
        <v>76.204999999999998</v>
      </c>
      <c r="J44" s="70">
        <v>0.30266666666666669</v>
      </c>
      <c r="K44" s="70">
        <v>0.77900000000000003</v>
      </c>
      <c r="L44" s="70" t="s">
        <v>303</v>
      </c>
      <c r="M44" s="70">
        <v>87.471891666666664</v>
      </c>
      <c r="N44" s="70" t="s">
        <v>881</v>
      </c>
      <c r="O44" s="70" t="s">
        <v>864</v>
      </c>
      <c r="P44" s="70" t="s">
        <v>865</v>
      </c>
    </row>
    <row r="45" spans="1:16" x14ac:dyDescent="0.35">
      <c r="A45" s="70" t="s">
        <v>343</v>
      </c>
      <c r="B45" s="70"/>
      <c r="C45" s="70">
        <v>2573</v>
      </c>
      <c r="D45" s="70">
        <v>89.371833333333342</v>
      </c>
      <c r="E45" s="70">
        <v>90</v>
      </c>
      <c r="F45" s="70" t="s">
        <v>862</v>
      </c>
      <c r="G45" s="70">
        <v>0.98520000000000008</v>
      </c>
      <c r="H45" s="70" t="s">
        <v>862</v>
      </c>
      <c r="I45" s="70">
        <v>73.179000000000002</v>
      </c>
      <c r="J45" s="70">
        <v>0.30533333333333329</v>
      </c>
      <c r="K45" s="70">
        <v>0.86099999999999999</v>
      </c>
      <c r="L45" s="70" t="s">
        <v>303</v>
      </c>
      <c r="M45" s="70">
        <v>86.448791666666665</v>
      </c>
      <c r="N45" s="70" t="s">
        <v>881</v>
      </c>
      <c r="O45" s="70" t="s">
        <v>864</v>
      </c>
      <c r="P45" s="70" t="s">
        <v>865</v>
      </c>
    </row>
    <row r="46" spans="1:16" x14ac:dyDescent="0.35">
      <c r="A46" s="70" t="s">
        <v>344</v>
      </c>
      <c r="B46" s="70"/>
      <c r="C46" s="70">
        <v>2573</v>
      </c>
      <c r="D46" s="70">
        <v>87.898777777777781</v>
      </c>
      <c r="E46" s="70">
        <v>90</v>
      </c>
      <c r="F46" s="70" t="s">
        <v>862</v>
      </c>
      <c r="G46" s="70">
        <v>0.9628000000000001</v>
      </c>
      <c r="H46" s="70" t="s">
        <v>862</v>
      </c>
      <c r="I46" s="70">
        <v>75.956000000000003</v>
      </c>
      <c r="J46" s="70">
        <v>0.29199999999999998</v>
      </c>
      <c r="K46" s="70">
        <v>0.80200000000000005</v>
      </c>
      <c r="L46" s="70" t="s">
        <v>303</v>
      </c>
      <c r="M46" s="70">
        <v>86.233172222222223</v>
      </c>
      <c r="N46" s="70" t="s">
        <v>881</v>
      </c>
      <c r="O46" s="70" t="s">
        <v>864</v>
      </c>
      <c r="P46" s="70" t="s">
        <v>865</v>
      </c>
    </row>
    <row r="47" spans="1:16" x14ac:dyDescent="0.35">
      <c r="A47" s="70" t="s">
        <v>345</v>
      </c>
      <c r="B47" s="70"/>
      <c r="C47" s="70">
        <v>2573</v>
      </c>
      <c r="D47" s="70">
        <v>87.898777777777781</v>
      </c>
      <c r="E47" s="70">
        <v>90</v>
      </c>
      <c r="F47" s="70" t="s">
        <v>862</v>
      </c>
      <c r="G47" s="70">
        <v>0.97760000000000002</v>
      </c>
      <c r="H47" s="70" t="s">
        <v>862</v>
      </c>
      <c r="I47" s="70">
        <v>76.652000000000001</v>
      </c>
      <c r="J47" s="70">
        <v>0.29866666666666664</v>
      </c>
      <c r="K47" s="70">
        <v>0.80600000000000005</v>
      </c>
      <c r="L47" s="70" t="s">
        <v>303</v>
      </c>
      <c r="M47" s="70">
        <v>86.920772222222226</v>
      </c>
      <c r="N47" s="70" t="s">
        <v>881</v>
      </c>
      <c r="O47" s="70" t="s">
        <v>864</v>
      </c>
      <c r="P47" s="70" t="s">
        <v>865</v>
      </c>
    </row>
    <row r="48" spans="1:16" x14ac:dyDescent="0.35">
      <c r="A48" s="70" t="s">
        <v>346</v>
      </c>
      <c r="B48" s="70"/>
      <c r="C48" s="70">
        <v>2573</v>
      </c>
      <c r="D48" s="70">
        <v>92.128888888888895</v>
      </c>
      <c r="E48" s="70">
        <v>90</v>
      </c>
      <c r="F48" s="70" t="s">
        <v>862</v>
      </c>
      <c r="G48" s="70">
        <v>0.98520000000000008</v>
      </c>
      <c r="H48" s="70" t="s">
        <v>862</v>
      </c>
      <c r="I48" s="70">
        <v>76.978999999999999</v>
      </c>
      <c r="J48" s="70">
        <v>0.31333333333333335</v>
      </c>
      <c r="K48" s="70">
        <v>0.76900000000000002</v>
      </c>
      <c r="L48" s="70" t="s">
        <v>303</v>
      </c>
      <c r="M48" s="70">
        <v>88.743761111111112</v>
      </c>
      <c r="N48" s="70" t="s">
        <v>881</v>
      </c>
      <c r="O48" s="70" t="s">
        <v>864</v>
      </c>
      <c r="P48" s="70" t="s">
        <v>865</v>
      </c>
    </row>
    <row r="49" spans="1:16" x14ac:dyDescent="0.35">
      <c r="A49" s="70" t="s">
        <v>347</v>
      </c>
      <c r="B49" s="70"/>
      <c r="C49" s="70">
        <v>2573</v>
      </c>
      <c r="D49" s="70">
        <v>87.202611111111111</v>
      </c>
      <c r="E49" s="70">
        <v>90</v>
      </c>
      <c r="F49" s="70" t="s">
        <v>862</v>
      </c>
      <c r="G49" s="70">
        <v>0.94040000000000001</v>
      </c>
      <c r="H49" s="70" t="s">
        <v>862</v>
      </c>
      <c r="I49" s="70">
        <v>75.25800000000001</v>
      </c>
      <c r="J49" s="70">
        <v>0.21066666666666664</v>
      </c>
      <c r="K49" s="70">
        <v>0.872</v>
      </c>
      <c r="L49" s="70" t="s">
        <v>303</v>
      </c>
      <c r="M49" s="70">
        <v>85.073213888888887</v>
      </c>
      <c r="N49" s="70" t="s">
        <v>881</v>
      </c>
      <c r="O49" s="70" t="s">
        <v>864</v>
      </c>
      <c r="P49" s="70" t="s">
        <v>865</v>
      </c>
    </row>
    <row r="50" spans="1:16" x14ac:dyDescent="0.35">
      <c r="A50" s="70" t="s">
        <v>348</v>
      </c>
      <c r="B50" s="70"/>
      <c r="C50" s="70">
        <v>2573</v>
      </c>
      <c r="D50" s="70">
        <v>87.898777777777781</v>
      </c>
      <c r="E50" s="70">
        <v>90</v>
      </c>
      <c r="F50" s="70" t="s">
        <v>862</v>
      </c>
      <c r="G50" s="70">
        <v>0.93320000000000003</v>
      </c>
      <c r="H50" s="70" t="s">
        <v>862</v>
      </c>
      <c r="I50" s="70">
        <v>77.913999999999987</v>
      </c>
      <c r="J50" s="70">
        <v>0.43333333333333335</v>
      </c>
      <c r="K50" s="70">
        <v>0.79</v>
      </c>
      <c r="L50" s="70" t="s">
        <v>303</v>
      </c>
      <c r="M50" s="70">
        <v>86.030472222222215</v>
      </c>
      <c r="N50" s="70" t="s">
        <v>881</v>
      </c>
      <c r="O50" s="70" t="s">
        <v>864</v>
      </c>
      <c r="P50" s="70" t="s">
        <v>865</v>
      </c>
    </row>
    <row r="51" spans="1:16" x14ac:dyDescent="0.35">
      <c r="A51" s="70" t="s">
        <v>349</v>
      </c>
      <c r="B51" s="70"/>
      <c r="C51" s="70">
        <v>2573</v>
      </c>
      <c r="D51" s="70">
        <v>87.898777777777781</v>
      </c>
      <c r="E51" s="70">
        <v>90</v>
      </c>
      <c r="F51" s="70" t="s">
        <v>862</v>
      </c>
      <c r="G51" s="70">
        <v>0.9416000000000001</v>
      </c>
      <c r="H51" s="70" t="s">
        <v>862</v>
      </c>
      <c r="I51" s="70">
        <v>75.507000000000005</v>
      </c>
      <c r="J51" s="70">
        <v>0.4506666666666666</v>
      </c>
      <c r="K51" s="70">
        <v>0.80300000000000005</v>
      </c>
      <c r="L51" s="70" t="s">
        <v>303</v>
      </c>
      <c r="M51" s="70">
        <v>85.440022222222225</v>
      </c>
      <c r="N51" s="70" t="s">
        <v>881</v>
      </c>
      <c r="O51" s="70" t="s">
        <v>864</v>
      </c>
      <c r="P51" s="70" t="s">
        <v>865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3651D-F7CB-4A2F-8B92-9A875B2E83C3}">
  <sheetPr codeName="Sheet12"/>
  <dimension ref="A1:M21"/>
  <sheetViews>
    <sheetView workbookViewId="0">
      <pane xSplit="1" ySplit="1" topLeftCell="B8" activePane="bottomRight" state="frozen"/>
      <selection pane="topRight" activeCell="B1" sqref="B1"/>
      <selection pane="bottomLeft" activeCell="A2" sqref="A2"/>
      <selection pane="bottomRight" sqref="A1:XFD1"/>
    </sheetView>
  </sheetViews>
  <sheetFormatPr defaultRowHeight="14.5" x14ac:dyDescent="0.35"/>
  <cols>
    <col min="1" max="1" width="8.54296875" bestFit="1" customWidth="1"/>
    <col min="2" max="2" width="11.6328125" bestFit="1" customWidth="1"/>
    <col min="3" max="3" width="9.453125" bestFit="1" customWidth="1"/>
    <col min="4" max="4" width="9.36328125" bestFit="1" customWidth="1"/>
    <col min="5" max="5" width="13.1796875" bestFit="1" customWidth="1"/>
    <col min="6" max="6" width="18.453125" bestFit="1" customWidth="1"/>
    <col min="7" max="7" width="20.36328125" bestFit="1" customWidth="1"/>
    <col min="8" max="8" width="18.453125" bestFit="1" customWidth="1"/>
    <col min="9" max="9" width="62.26953125" bestFit="1" customWidth="1"/>
    <col min="10" max="10" width="27" bestFit="1" customWidth="1"/>
    <col min="11" max="11" width="27.26953125" bestFit="1" customWidth="1"/>
    <col min="12" max="12" width="18.1796875" bestFit="1" customWidth="1"/>
    <col min="13" max="13" width="17.26953125" bestFit="1" customWidth="1"/>
  </cols>
  <sheetData>
    <row r="1" spans="1:13" x14ac:dyDescent="0.35">
      <c r="A1" s="49" t="s">
        <v>39</v>
      </c>
      <c r="B1" s="49" t="s">
        <v>60</v>
      </c>
      <c r="C1" s="49" t="s">
        <v>61</v>
      </c>
      <c r="D1" s="49" t="s">
        <v>62</v>
      </c>
      <c r="E1" s="49" t="s">
        <v>63</v>
      </c>
      <c r="F1" s="49" t="s">
        <v>64</v>
      </c>
      <c r="G1" s="49" t="s">
        <v>65</v>
      </c>
      <c r="H1" s="49" t="s">
        <v>66</v>
      </c>
      <c r="I1" s="49" t="s">
        <v>67</v>
      </c>
      <c r="J1" s="49" t="s">
        <v>68</v>
      </c>
      <c r="K1" s="49" t="s">
        <v>69</v>
      </c>
      <c r="L1" s="49" t="s">
        <v>70</v>
      </c>
      <c r="M1" s="49" t="s">
        <v>71</v>
      </c>
    </row>
    <row r="2" spans="1:13" x14ac:dyDescent="0.35">
      <c r="A2" t="s">
        <v>299</v>
      </c>
      <c r="B2" t="s">
        <v>377</v>
      </c>
      <c r="C2" t="s">
        <v>378</v>
      </c>
      <c r="D2" t="s">
        <v>379</v>
      </c>
      <c r="E2" t="s">
        <v>380</v>
      </c>
      <c r="F2">
        <v>78</v>
      </c>
      <c r="G2">
        <v>65</v>
      </c>
      <c r="H2">
        <v>0.76</v>
      </c>
      <c r="I2" t="s">
        <v>381</v>
      </c>
      <c r="J2" t="s">
        <v>382</v>
      </c>
      <c r="K2" t="s">
        <v>383</v>
      </c>
      <c r="L2">
        <v>19</v>
      </c>
      <c r="M2">
        <v>596</v>
      </c>
    </row>
    <row r="3" spans="1:13" x14ac:dyDescent="0.35">
      <c r="A3" t="s">
        <v>304</v>
      </c>
      <c r="B3" t="s">
        <v>384</v>
      </c>
      <c r="C3" t="s">
        <v>385</v>
      </c>
      <c r="D3" t="s">
        <v>386</v>
      </c>
      <c r="E3" t="s">
        <v>387</v>
      </c>
      <c r="F3">
        <v>72</v>
      </c>
      <c r="G3">
        <v>61</v>
      </c>
      <c r="H3">
        <v>0.79</v>
      </c>
      <c r="I3" t="s">
        <v>388</v>
      </c>
      <c r="J3" t="s">
        <v>389</v>
      </c>
      <c r="K3" t="s">
        <v>383</v>
      </c>
      <c r="L3">
        <v>24</v>
      </c>
      <c r="M3">
        <v>405</v>
      </c>
    </row>
    <row r="4" spans="1:13" x14ac:dyDescent="0.35">
      <c r="A4" t="s">
        <v>306</v>
      </c>
      <c r="B4" t="s">
        <v>390</v>
      </c>
      <c r="C4" t="s">
        <v>391</v>
      </c>
      <c r="D4" t="s">
        <v>392</v>
      </c>
      <c r="E4" t="s">
        <v>393</v>
      </c>
      <c r="F4">
        <v>73</v>
      </c>
      <c r="G4">
        <v>56</v>
      </c>
      <c r="H4">
        <v>0.79</v>
      </c>
      <c r="I4" t="s">
        <v>394</v>
      </c>
      <c r="J4" t="s">
        <v>395</v>
      </c>
      <c r="K4" t="s">
        <v>383</v>
      </c>
      <c r="L4">
        <v>17</v>
      </c>
      <c r="M4">
        <v>567</v>
      </c>
    </row>
    <row r="5" spans="1:13" x14ac:dyDescent="0.35">
      <c r="A5" t="s">
        <v>307</v>
      </c>
      <c r="B5" t="s">
        <v>396</v>
      </c>
      <c r="C5" t="s">
        <v>397</v>
      </c>
      <c r="D5" t="s">
        <v>398</v>
      </c>
      <c r="E5" t="s">
        <v>399</v>
      </c>
      <c r="F5">
        <v>76</v>
      </c>
      <c r="G5">
        <v>65</v>
      </c>
      <c r="H5">
        <v>0.89</v>
      </c>
      <c r="I5" t="s">
        <v>400</v>
      </c>
      <c r="J5" t="s">
        <v>401</v>
      </c>
      <c r="K5" t="s">
        <v>383</v>
      </c>
      <c r="L5">
        <v>13</v>
      </c>
      <c r="M5">
        <v>427</v>
      </c>
    </row>
    <row r="6" spans="1:13" x14ac:dyDescent="0.35">
      <c r="A6" t="s">
        <v>308</v>
      </c>
      <c r="B6" t="s">
        <v>402</v>
      </c>
      <c r="C6" t="s">
        <v>403</v>
      </c>
      <c r="D6" t="s">
        <v>404</v>
      </c>
      <c r="E6" t="s">
        <v>405</v>
      </c>
      <c r="F6">
        <v>69</v>
      </c>
      <c r="G6">
        <v>58</v>
      </c>
      <c r="H6">
        <v>0.7</v>
      </c>
      <c r="I6" t="s">
        <v>406</v>
      </c>
      <c r="J6" t="s">
        <v>407</v>
      </c>
      <c r="K6" t="s">
        <v>383</v>
      </c>
      <c r="L6">
        <v>24</v>
      </c>
      <c r="M6">
        <v>661</v>
      </c>
    </row>
    <row r="7" spans="1:13" x14ac:dyDescent="0.35">
      <c r="A7" t="s">
        <v>408</v>
      </c>
      <c r="B7" t="s">
        <v>409</v>
      </c>
      <c r="C7" t="s">
        <v>410</v>
      </c>
      <c r="D7" t="s">
        <v>411</v>
      </c>
      <c r="E7" t="s">
        <v>412</v>
      </c>
      <c r="F7">
        <v>75</v>
      </c>
      <c r="G7">
        <v>57</v>
      </c>
      <c r="H7">
        <v>0.82</v>
      </c>
      <c r="I7" t="s">
        <v>413</v>
      </c>
      <c r="J7" t="s">
        <v>414</v>
      </c>
      <c r="K7" t="s">
        <v>383</v>
      </c>
      <c r="L7">
        <v>26</v>
      </c>
      <c r="M7">
        <v>553</v>
      </c>
    </row>
    <row r="8" spans="1:13" x14ac:dyDescent="0.35">
      <c r="A8" t="s">
        <v>415</v>
      </c>
      <c r="B8" t="s">
        <v>416</v>
      </c>
      <c r="C8" t="s">
        <v>417</v>
      </c>
      <c r="D8" t="s">
        <v>418</v>
      </c>
      <c r="E8" t="s">
        <v>419</v>
      </c>
      <c r="F8">
        <v>70</v>
      </c>
      <c r="G8">
        <v>56</v>
      </c>
      <c r="H8">
        <v>0.86</v>
      </c>
      <c r="I8" t="s">
        <v>420</v>
      </c>
      <c r="J8" t="s">
        <v>421</v>
      </c>
      <c r="K8" t="s">
        <v>383</v>
      </c>
      <c r="L8">
        <v>21</v>
      </c>
      <c r="M8">
        <v>575</v>
      </c>
    </row>
    <row r="9" spans="1:13" x14ac:dyDescent="0.35">
      <c r="A9" t="s">
        <v>422</v>
      </c>
      <c r="B9" t="s">
        <v>423</v>
      </c>
      <c r="C9" t="s">
        <v>424</v>
      </c>
      <c r="D9" t="s">
        <v>425</v>
      </c>
      <c r="E9" t="s">
        <v>426</v>
      </c>
      <c r="F9">
        <v>80</v>
      </c>
      <c r="G9">
        <v>60</v>
      </c>
      <c r="H9">
        <v>0.74</v>
      </c>
      <c r="I9" t="s">
        <v>427</v>
      </c>
      <c r="J9" t="s">
        <v>428</v>
      </c>
      <c r="K9" t="s">
        <v>383</v>
      </c>
      <c r="L9">
        <v>13</v>
      </c>
      <c r="M9">
        <v>483</v>
      </c>
    </row>
    <row r="10" spans="1:13" x14ac:dyDescent="0.35">
      <c r="A10" t="s">
        <v>429</v>
      </c>
      <c r="B10" t="s">
        <v>430</v>
      </c>
      <c r="C10" t="s">
        <v>431</v>
      </c>
      <c r="D10" t="s">
        <v>432</v>
      </c>
      <c r="E10" t="s">
        <v>433</v>
      </c>
      <c r="F10">
        <v>75</v>
      </c>
      <c r="G10">
        <v>63</v>
      </c>
      <c r="H10">
        <v>0.72</v>
      </c>
      <c r="I10" t="s">
        <v>434</v>
      </c>
      <c r="J10" t="s">
        <v>435</v>
      </c>
      <c r="K10" t="s">
        <v>383</v>
      </c>
      <c r="L10">
        <v>22</v>
      </c>
      <c r="M10">
        <v>668</v>
      </c>
    </row>
    <row r="11" spans="1:13" x14ac:dyDescent="0.35">
      <c r="A11" t="s">
        <v>436</v>
      </c>
      <c r="B11" t="s">
        <v>437</v>
      </c>
      <c r="C11" t="s">
        <v>438</v>
      </c>
      <c r="D11" t="s">
        <v>439</v>
      </c>
      <c r="E11" t="s">
        <v>440</v>
      </c>
      <c r="F11">
        <v>76</v>
      </c>
      <c r="G11">
        <v>59</v>
      </c>
      <c r="H11">
        <v>0.88</v>
      </c>
      <c r="I11" t="s">
        <v>441</v>
      </c>
      <c r="J11" t="s">
        <v>442</v>
      </c>
      <c r="K11" t="s">
        <v>383</v>
      </c>
      <c r="L11">
        <v>25</v>
      </c>
      <c r="M11">
        <v>653</v>
      </c>
    </row>
    <row r="12" spans="1:13" x14ac:dyDescent="0.35">
      <c r="A12" t="s">
        <v>443</v>
      </c>
      <c r="B12" t="s">
        <v>444</v>
      </c>
      <c r="C12" t="s">
        <v>445</v>
      </c>
      <c r="D12" t="s">
        <v>446</v>
      </c>
      <c r="E12" t="s">
        <v>447</v>
      </c>
      <c r="F12">
        <v>75</v>
      </c>
      <c r="G12">
        <v>59</v>
      </c>
      <c r="H12">
        <v>0.89</v>
      </c>
      <c r="I12" t="s">
        <v>448</v>
      </c>
      <c r="J12" t="s">
        <v>449</v>
      </c>
      <c r="K12" t="s">
        <v>383</v>
      </c>
      <c r="L12">
        <v>10</v>
      </c>
      <c r="M12">
        <v>582</v>
      </c>
    </row>
    <row r="13" spans="1:13" x14ac:dyDescent="0.35">
      <c r="A13" t="s">
        <v>450</v>
      </c>
      <c r="B13" t="s">
        <v>451</v>
      </c>
      <c r="C13" t="s">
        <v>452</v>
      </c>
      <c r="D13" t="s">
        <v>453</v>
      </c>
      <c r="E13" t="s">
        <v>454</v>
      </c>
      <c r="F13">
        <v>73</v>
      </c>
      <c r="G13">
        <v>57</v>
      </c>
      <c r="H13">
        <v>0.79</v>
      </c>
      <c r="I13" t="s">
        <v>455</v>
      </c>
      <c r="J13" t="s">
        <v>456</v>
      </c>
      <c r="K13" t="s">
        <v>383</v>
      </c>
      <c r="L13">
        <v>13</v>
      </c>
      <c r="M13">
        <v>569</v>
      </c>
    </row>
    <row r="14" spans="1:13" x14ac:dyDescent="0.35">
      <c r="A14" t="s">
        <v>457</v>
      </c>
      <c r="B14" t="s">
        <v>458</v>
      </c>
      <c r="C14" t="s">
        <v>459</v>
      </c>
      <c r="D14" t="s">
        <v>460</v>
      </c>
      <c r="E14" t="s">
        <v>461</v>
      </c>
      <c r="F14">
        <v>81</v>
      </c>
      <c r="G14">
        <v>64</v>
      </c>
      <c r="H14">
        <v>0.75</v>
      </c>
      <c r="I14" t="s">
        <v>462</v>
      </c>
      <c r="J14" t="s">
        <v>463</v>
      </c>
      <c r="K14" t="s">
        <v>383</v>
      </c>
      <c r="L14">
        <v>15</v>
      </c>
      <c r="M14">
        <v>391</v>
      </c>
    </row>
    <row r="15" spans="1:13" x14ac:dyDescent="0.35">
      <c r="A15" t="s">
        <v>464</v>
      </c>
      <c r="B15" t="s">
        <v>465</v>
      </c>
      <c r="C15" t="s">
        <v>466</v>
      </c>
      <c r="D15" t="s">
        <v>467</v>
      </c>
      <c r="E15" t="s">
        <v>468</v>
      </c>
      <c r="F15">
        <v>78</v>
      </c>
      <c r="G15">
        <v>61</v>
      </c>
      <c r="H15">
        <v>0.73</v>
      </c>
      <c r="I15" t="s">
        <v>469</v>
      </c>
      <c r="J15" t="s">
        <v>470</v>
      </c>
      <c r="K15" t="s">
        <v>383</v>
      </c>
      <c r="L15">
        <v>25</v>
      </c>
      <c r="M15">
        <v>667</v>
      </c>
    </row>
    <row r="16" spans="1:13" x14ac:dyDescent="0.35">
      <c r="A16" t="s">
        <v>471</v>
      </c>
      <c r="B16" t="s">
        <v>472</v>
      </c>
      <c r="C16" t="s">
        <v>473</v>
      </c>
      <c r="D16" t="s">
        <v>474</v>
      </c>
      <c r="E16" t="s">
        <v>475</v>
      </c>
      <c r="F16">
        <v>78</v>
      </c>
      <c r="G16">
        <v>60</v>
      </c>
      <c r="H16">
        <v>0.74</v>
      </c>
      <c r="I16" t="s">
        <v>476</v>
      </c>
      <c r="J16" t="s">
        <v>477</v>
      </c>
      <c r="K16" t="s">
        <v>383</v>
      </c>
      <c r="L16">
        <v>18</v>
      </c>
      <c r="M16">
        <v>441</v>
      </c>
    </row>
    <row r="17" spans="1:13" x14ac:dyDescent="0.35">
      <c r="A17" t="s">
        <v>478</v>
      </c>
      <c r="B17" t="s">
        <v>479</v>
      </c>
      <c r="C17" t="s">
        <v>480</v>
      </c>
      <c r="D17" t="s">
        <v>481</v>
      </c>
      <c r="E17" t="s">
        <v>482</v>
      </c>
      <c r="F17">
        <v>77</v>
      </c>
      <c r="G17">
        <v>60</v>
      </c>
      <c r="H17">
        <v>0.78</v>
      </c>
      <c r="I17" t="s">
        <v>483</v>
      </c>
      <c r="J17" t="s">
        <v>484</v>
      </c>
      <c r="K17" t="s">
        <v>383</v>
      </c>
      <c r="L17">
        <v>16</v>
      </c>
      <c r="M17">
        <v>497</v>
      </c>
    </row>
    <row r="18" spans="1:13" x14ac:dyDescent="0.35">
      <c r="A18" t="s">
        <v>485</v>
      </c>
      <c r="B18" t="s">
        <v>486</v>
      </c>
      <c r="C18" t="s">
        <v>487</v>
      </c>
      <c r="D18" t="s">
        <v>488</v>
      </c>
      <c r="E18" t="s">
        <v>489</v>
      </c>
      <c r="F18">
        <v>77</v>
      </c>
      <c r="G18">
        <v>65</v>
      </c>
      <c r="H18">
        <v>0.72</v>
      </c>
      <c r="I18" t="s">
        <v>490</v>
      </c>
      <c r="J18" t="s">
        <v>491</v>
      </c>
      <c r="K18" t="s">
        <v>383</v>
      </c>
      <c r="L18">
        <v>22</v>
      </c>
      <c r="M18">
        <v>466</v>
      </c>
    </row>
    <row r="19" spans="1:13" x14ac:dyDescent="0.35">
      <c r="A19" t="s">
        <v>492</v>
      </c>
      <c r="B19" t="s">
        <v>493</v>
      </c>
      <c r="C19" t="s">
        <v>494</v>
      </c>
      <c r="D19" t="s">
        <v>495</v>
      </c>
      <c r="E19" t="s">
        <v>496</v>
      </c>
      <c r="F19">
        <v>69</v>
      </c>
      <c r="G19">
        <v>56</v>
      </c>
      <c r="H19">
        <v>0.8</v>
      </c>
      <c r="I19" t="s">
        <v>497</v>
      </c>
      <c r="J19" t="s">
        <v>498</v>
      </c>
      <c r="K19" t="s">
        <v>383</v>
      </c>
      <c r="L19">
        <v>14</v>
      </c>
      <c r="M19">
        <v>715</v>
      </c>
    </row>
    <row r="20" spans="1:13" x14ac:dyDescent="0.35">
      <c r="A20" t="s">
        <v>499</v>
      </c>
      <c r="B20" t="s">
        <v>500</v>
      </c>
      <c r="C20" t="s">
        <v>501</v>
      </c>
      <c r="D20" t="s">
        <v>502</v>
      </c>
      <c r="E20" t="s">
        <v>503</v>
      </c>
      <c r="F20">
        <v>82</v>
      </c>
      <c r="G20">
        <v>63</v>
      </c>
      <c r="H20">
        <v>0.74</v>
      </c>
      <c r="I20" t="s">
        <v>504</v>
      </c>
      <c r="J20" t="s">
        <v>505</v>
      </c>
      <c r="K20" t="s">
        <v>383</v>
      </c>
      <c r="L20">
        <v>18</v>
      </c>
      <c r="M20">
        <v>513</v>
      </c>
    </row>
    <row r="21" spans="1:13" x14ac:dyDescent="0.35">
      <c r="A21" t="s">
        <v>506</v>
      </c>
      <c r="B21" t="s">
        <v>507</v>
      </c>
      <c r="C21" t="s">
        <v>508</v>
      </c>
      <c r="D21" t="s">
        <v>509</v>
      </c>
      <c r="E21" t="s">
        <v>510</v>
      </c>
      <c r="F21">
        <v>79</v>
      </c>
      <c r="G21">
        <v>59</v>
      </c>
      <c r="H21">
        <v>0.89</v>
      </c>
      <c r="I21" t="s">
        <v>511</v>
      </c>
      <c r="J21" t="s">
        <v>512</v>
      </c>
      <c r="K21" t="s">
        <v>383</v>
      </c>
      <c r="L21">
        <v>13</v>
      </c>
      <c r="M21">
        <v>426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033D3-384F-45CE-9E47-F8FA7349DDE0}">
  <sheetPr codeName="Sheet11"/>
  <dimension ref="A1:AD51"/>
  <sheetViews>
    <sheetView workbookViewId="0">
      <pane ySplit="1" topLeftCell="A2" activePane="bottomLeft" state="frozen"/>
      <selection pane="bottomLeft" sqref="A1:XFD1"/>
    </sheetView>
  </sheetViews>
  <sheetFormatPr defaultRowHeight="14.5" x14ac:dyDescent="0.35"/>
  <cols>
    <col min="1" max="1" width="15.81640625" customWidth="1"/>
    <col min="2" max="2" width="21.90625" customWidth="1"/>
    <col min="3" max="3" width="19.54296875" bestFit="1" customWidth="1"/>
    <col min="4" max="4" width="21.08984375" bestFit="1" customWidth="1"/>
    <col min="5" max="5" width="18.36328125" bestFit="1" customWidth="1"/>
    <col min="6" max="6" width="17.90625" bestFit="1" customWidth="1"/>
    <col min="7" max="7" width="15.81640625" bestFit="1" customWidth="1"/>
    <col min="8" max="8" width="15.26953125" bestFit="1" customWidth="1"/>
    <col min="9" max="9" width="14.26953125" bestFit="1" customWidth="1"/>
    <col min="10" max="10" width="15" bestFit="1" customWidth="1"/>
    <col min="11" max="11" width="19.08984375" bestFit="1" customWidth="1"/>
    <col min="12" max="12" width="14.54296875" bestFit="1" customWidth="1"/>
    <col min="13" max="13" width="15.54296875" bestFit="1" customWidth="1"/>
    <col min="14" max="14" width="18.36328125" bestFit="1" customWidth="1"/>
    <col min="15" max="15" width="12.7265625" bestFit="1" customWidth="1"/>
    <col min="16" max="16" width="20.7265625" bestFit="1" customWidth="1"/>
    <col min="17" max="17" width="11.90625" bestFit="1" customWidth="1"/>
    <col min="18" max="18" width="21.54296875" bestFit="1" customWidth="1"/>
    <col min="19" max="19" width="19.81640625" bestFit="1" customWidth="1"/>
    <col min="20" max="20" width="19.08984375" bestFit="1" customWidth="1"/>
    <col min="21" max="21" width="20.81640625" bestFit="1" customWidth="1"/>
    <col min="22" max="22" width="14.7265625" bestFit="1" customWidth="1"/>
    <col min="23" max="23" width="23.453125" bestFit="1" customWidth="1"/>
    <col min="24" max="24" width="21.6328125" bestFit="1" customWidth="1"/>
    <col min="25" max="25" width="15" bestFit="1" customWidth="1"/>
    <col min="26" max="26" width="12.54296875" bestFit="1" customWidth="1"/>
    <col min="27" max="27" width="22.453125" bestFit="1" customWidth="1"/>
    <col min="28" max="28" width="17.26953125" bestFit="1" customWidth="1"/>
    <col min="29" max="29" width="15.7265625" bestFit="1" customWidth="1"/>
    <col min="30" max="30" width="18.08984375" bestFit="1" customWidth="1"/>
  </cols>
  <sheetData>
    <row r="1" spans="1:30" x14ac:dyDescent="0.35">
      <c r="A1" s="50" t="s">
        <v>15</v>
      </c>
      <c r="B1" s="50" t="s">
        <v>72</v>
      </c>
      <c r="C1" s="50" t="s">
        <v>73</v>
      </c>
      <c r="D1" s="50" t="s">
        <v>74</v>
      </c>
      <c r="E1" s="50" t="s">
        <v>75</v>
      </c>
      <c r="F1" s="50" t="s">
        <v>76</v>
      </c>
      <c r="G1" s="50" t="s">
        <v>77</v>
      </c>
      <c r="H1" s="50" t="s">
        <v>78</v>
      </c>
      <c r="I1" s="50" t="s">
        <v>79</v>
      </c>
      <c r="J1" s="50" t="s">
        <v>80</v>
      </c>
      <c r="K1" s="50" t="s">
        <v>81</v>
      </c>
      <c r="L1" s="50" t="s">
        <v>82</v>
      </c>
      <c r="M1" s="50" t="s">
        <v>83</v>
      </c>
      <c r="N1" s="50" t="s">
        <v>84</v>
      </c>
      <c r="O1" s="50" t="s">
        <v>85</v>
      </c>
      <c r="P1" s="50" t="s">
        <v>86</v>
      </c>
      <c r="Q1" s="50" t="s">
        <v>87</v>
      </c>
      <c r="R1" s="50" t="s">
        <v>88</v>
      </c>
      <c r="S1" s="50" t="s">
        <v>89</v>
      </c>
      <c r="T1" s="50" t="s">
        <v>90</v>
      </c>
      <c r="U1" s="50" t="s">
        <v>91</v>
      </c>
      <c r="V1" s="50" t="s">
        <v>92</v>
      </c>
      <c r="W1" s="50" t="s">
        <v>93</v>
      </c>
      <c r="X1" s="50" t="s">
        <v>94</v>
      </c>
      <c r="Y1" s="50" t="s">
        <v>22</v>
      </c>
      <c r="Z1" s="50" t="s">
        <v>95</v>
      </c>
      <c r="AA1" s="50" t="s">
        <v>96</v>
      </c>
      <c r="AB1" s="50" t="s">
        <v>97</v>
      </c>
      <c r="AC1" s="50" t="s">
        <v>98</v>
      </c>
      <c r="AD1" s="50" t="s">
        <v>99</v>
      </c>
    </row>
    <row r="2" spans="1:30" x14ac:dyDescent="0.35">
      <c r="A2" s="1" t="s">
        <v>18</v>
      </c>
      <c r="B2" s="1" t="s">
        <v>158</v>
      </c>
      <c r="C2" s="1">
        <v>58.7</v>
      </c>
      <c r="D2" s="1">
        <v>1.5</v>
      </c>
      <c r="E2" s="1">
        <v>63</v>
      </c>
      <c r="F2" s="1">
        <v>57.4</v>
      </c>
      <c r="G2" s="1">
        <v>3.1</v>
      </c>
      <c r="H2" s="1">
        <v>19</v>
      </c>
      <c r="I2" s="1">
        <v>219</v>
      </c>
      <c r="J2" s="1">
        <v>77</v>
      </c>
      <c r="K2" s="1">
        <v>221</v>
      </c>
      <c r="L2" s="1" t="s">
        <v>150</v>
      </c>
      <c r="M2" s="1">
        <v>98.2</v>
      </c>
      <c r="N2" s="1">
        <v>1.45</v>
      </c>
      <c r="O2" s="1">
        <v>80</v>
      </c>
      <c r="P2" s="1">
        <v>18</v>
      </c>
      <c r="Q2" s="1" t="s">
        <v>102</v>
      </c>
      <c r="R2" s="1">
        <v>166.32</v>
      </c>
      <c r="S2" s="1">
        <v>-4.3</v>
      </c>
      <c r="T2" s="1">
        <v>0.31</v>
      </c>
      <c r="U2" s="1" t="s">
        <v>102</v>
      </c>
      <c r="V2" s="1">
        <v>3404</v>
      </c>
      <c r="W2" s="1">
        <v>14</v>
      </c>
      <c r="X2" s="1">
        <v>7</v>
      </c>
      <c r="Y2" s="1" t="s">
        <v>31</v>
      </c>
      <c r="Z2" s="1" t="s">
        <v>171</v>
      </c>
      <c r="AA2" s="1">
        <v>0.87</v>
      </c>
      <c r="AB2" s="1">
        <v>0</v>
      </c>
      <c r="AC2" s="1" t="s">
        <v>104</v>
      </c>
      <c r="AD2" s="1" t="s">
        <v>350</v>
      </c>
    </row>
    <row r="3" spans="1:30" x14ac:dyDescent="0.35">
      <c r="A3" s="1" t="s">
        <v>177</v>
      </c>
      <c r="B3" s="1" t="s">
        <v>164</v>
      </c>
      <c r="C3" s="1">
        <v>54.5</v>
      </c>
      <c r="D3" s="1">
        <v>1.6</v>
      </c>
      <c r="E3" s="1">
        <v>56.5</v>
      </c>
      <c r="F3" s="1">
        <v>53</v>
      </c>
      <c r="G3" s="1">
        <v>2.4900000000000002</v>
      </c>
      <c r="H3" s="1">
        <v>24.5</v>
      </c>
      <c r="I3" s="1">
        <v>334</v>
      </c>
      <c r="J3" s="1">
        <v>87</v>
      </c>
      <c r="K3" s="1">
        <v>103</v>
      </c>
      <c r="L3" s="1" t="s">
        <v>151</v>
      </c>
      <c r="M3" s="1">
        <v>99.5</v>
      </c>
      <c r="N3" s="1">
        <v>0.24</v>
      </c>
      <c r="O3" s="1">
        <v>49</v>
      </c>
      <c r="P3" s="1">
        <v>7</v>
      </c>
      <c r="Q3" s="1" t="s">
        <v>102</v>
      </c>
      <c r="R3" s="1">
        <v>283.81</v>
      </c>
      <c r="S3" s="1">
        <v>-3.5</v>
      </c>
      <c r="T3" s="1">
        <v>0.4</v>
      </c>
      <c r="U3" s="1" t="s">
        <v>102</v>
      </c>
      <c r="V3" s="1">
        <v>2344</v>
      </c>
      <c r="W3" s="1">
        <v>29</v>
      </c>
      <c r="X3" s="1">
        <v>85</v>
      </c>
      <c r="Y3" s="1" t="s">
        <v>168</v>
      </c>
      <c r="Z3" s="1" t="s">
        <v>351</v>
      </c>
      <c r="AA3" s="1">
        <v>0.92</v>
      </c>
      <c r="AB3" s="1">
        <v>2</v>
      </c>
      <c r="AC3" s="1" t="s">
        <v>104</v>
      </c>
      <c r="AD3" s="1" t="s">
        <v>352</v>
      </c>
    </row>
    <row r="4" spans="1:30" x14ac:dyDescent="0.35">
      <c r="A4" s="1" t="s">
        <v>178</v>
      </c>
      <c r="B4" s="1" t="s">
        <v>100</v>
      </c>
      <c r="C4" s="1">
        <v>55.8</v>
      </c>
      <c r="D4" s="1">
        <v>0.7</v>
      </c>
      <c r="E4" s="1">
        <v>57.4</v>
      </c>
      <c r="F4" s="1">
        <v>52.8</v>
      </c>
      <c r="G4" s="1">
        <v>3.63</v>
      </c>
      <c r="H4" s="1">
        <v>13.2</v>
      </c>
      <c r="I4" s="1">
        <v>286</v>
      </c>
      <c r="J4" s="1">
        <v>113</v>
      </c>
      <c r="K4" s="1">
        <v>195</v>
      </c>
      <c r="L4" s="1" t="s">
        <v>150</v>
      </c>
      <c r="M4" s="1">
        <v>97.9</v>
      </c>
      <c r="N4" s="1">
        <v>0.25</v>
      </c>
      <c r="O4" s="1">
        <v>95</v>
      </c>
      <c r="P4" s="1">
        <v>26</v>
      </c>
      <c r="Q4" s="1" t="s">
        <v>102</v>
      </c>
      <c r="R4" s="1">
        <v>232.96</v>
      </c>
      <c r="S4" s="1">
        <v>0.3</v>
      </c>
      <c r="T4" s="1">
        <v>0.95</v>
      </c>
      <c r="U4" s="1" t="s">
        <v>102</v>
      </c>
      <c r="V4" s="1">
        <v>744</v>
      </c>
      <c r="W4" s="1">
        <v>5</v>
      </c>
      <c r="X4" s="1">
        <v>16</v>
      </c>
      <c r="Y4" s="1" t="s">
        <v>168</v>
      </c>
      <c r="Z4" s="1" t="s">
        <v>353</v>
      </c>
      <c r="AA4" s="1">
        <v>0.95</v>
      </c>
      <c r="AB4" s="1">
        <v>0</v>
      </c>
      <c r="AC4" s="1" t="s">
        <v>104</v>
      </c>
      <c r="AD4" s="1" t="s">
        <v>350</v>
      </c>
    </row>
    <row r="5" spans="1:30" x14ac:dyDescent="0.35">
      <c r="A5" s="1" t="s">
        <v>179</v>
      </c>
      <c r="B5" s="1" t="s">
        <v>156</v>
      </c>
      <c r="C5" s="1">
        <v>43.6</v>
      </c>
      <c r="D5" s="1">
        <v>0.8</v>
      </c>
      <c r="E5" s="1">
        <v>44.7</v>
      </c>
      <c r="F5" s="1">
        <v>40.5</v>
      </c>
      <c r="G5" s="1">
        <v>2.75</v>
      </c>
      <c r="H5" s="1">
        <v>14.4</v>
      </c>
      <c r="I5" s="1">
        <v>259</v>
      </c>
      <c r="J5" s="1">
        <v>89</v>
      </c>
      <c r="K5" s="1">
        <v>202</v>
      </c>
      <c r="L5" s="1" t="s">
        <v>143</v>
      </c>
      <c r="M5" s="1">
        <v>99.1</v>
      </c>
      <c r="N5" s="1">
        <v>0.19</v>
      </c>
      <c r="O5" s="1">
        <v>78</v>
      </c>
      <c r="P5" s="1">
        <v>3</v>
      </c>
      <c r="Q5" s="1" t="s">
        <v>102</v>
      </c>
      <c r="R5" s="1">
        <v>165.55</v>
      </c>
      <c r="S5" s="1">
        <v>-4.0999999999999996</v>
      </c>
      <c r="T5" s="1">
        <v>0.63</v>
      </c>
      <c r="U5" s="1" t="s">
        <v>102</v>
      </c>
      <c r="V5" s="1">
        <v>3871</v>
      </c>
      <c r="W5" s="1">
        <v>27</v>
      </c>
      <c r="X5" s="1">
        <v>88</v>
      </c>
      <c r="Y5" s="1" t="s">
        <v>168</v>
      </c>
      <c r="Z5" s="1" t="s">
        <v>354</v>
      </c>
      <c r="AA5" s="1">
        <v>0.88</v>
      </c>
      <c r="AB5" s="1">
        <v>1</v>
      </c>
      <c r="AC5" s="1" t="s">
        <v>104</v>
      </c>
      <c r="AD5" s="1" t="s">
        <v>350</v>
      </c>
    </row>
    <row r="6" spans="1:30" x14ac:dyDescent="0.35">
      <c r="A6" s="1" t="s">
        <v>180</v>
      </c>
      <c r="B6" s="1" t="s">
        <v>159</v>
      </c>
      <c r="C6" s="1">
        <v>47.6</v>
      </c>
      <c r="D6" s="1">
        <v>1.5</v>
      </c>
      <c r="E6" s="1">
        <v>52.6</v>
      </c>
      <c r="F6" s="1">
        <v>44.8</v>
      </c>
      <c r="G6" s="1">
        <v>3.96</v>
      </c>
      <c r="H6" s="1">
        <v>14.3</v>
      </c>
      <c r="I6" s="1">
        <v>305</v>
      </c>
      <c r="J6" s="1">
        <v>83</v>
      </c>
      <c r="K6" s="1">
        <v>200</v>
      </c>
      <c r="L6" s="1" t="s">
        <v>152</v>
      </c>
      <c r="M6" s="1">
        <v>97.6</v>
      </c>
      <c r="N6" s="1">
        <v>1.08</v>
      </c>
      <c r="O6" s="1">
        <v>45</v>
      </c>
      <c r="P6" s="1">
        <v>11</v>
      </c>
      <c r="Q6" s="1" t="s">
        <v>102</v>
      </c>
      <c r="R6" s="1">
        <v>225.78</v>
      </c>
      <c r="S6" s="1">
        <v>2.7</v>
      </c>
      <c r="T6" s="1">
        <v>-0.41</v>
      </c>
      <c r="U6" s="1" t="s">
        <v>102</v>
      </c>
      <c r="V6" s="1">
        <v>2670</v>
      </c>
      <c r="W6" s="1">
        <v>17</v>
      </c>
      <c r="X6" s="1">
        <v>44</v>
      </c>
      <c r="Y6" s="1" t="s">
        <v>168</v>
      </c>
      <c r="Z6" s="1" t="s">
        <v>355</v>
      </c>
      <c r="AA6" s="1">
        <v>0.97</v>
      </c>
      <c r="AB6" s="1">
        <v>2</v>
      </c>
      <c r="AC6" s="1" t="s">
        <v>104</v>
      </c>
      <c r="AD6" s="1" t="s">
        <v>350</v>
      </c>
    </row>
    <row r="7" spans="1:30" x14ac:dyDescent="0.35">
      <c r="A7" s="1" t="s">
        <v>181</v>
      </c>
      <c r="B7" s="1" t="s">
        <v>155</v>
      </c>
      <c r="C7" s="1">
        <v>59</v>
      </c>
      <c r="D7" s="1">
        <v>1.7</v>
      </c>
      <c r="E7" s="1">
        <v>60.1</v>
      </c>
      <c r="F7" s="1">
        <v>57.6</v>
      </c>
      <c r="G7" s="1">
        <v>2.48</v>
      </c>
      <c r="H7" s="1">
        <v>12.5</v>
      </c>
      <c r="I7" s="1">
        <v>282</v>
      </c>
      <c r="J7" s="1">
        <v>101</v>
      </c>
      <c r="K7" s="1">
        <v>131</v>
      </c>
      <c r="L7" s="1" t="s">
        <v>150</v>
      </c>
      <c r="M7" s="1">
        <v>99.3</v>
      </c>
      <c r="N7" s="1">
        <v>1.4</v>
      </c>
      <c r="O7" s="1">
        <v>79</v>
      </c>
      <c r="P7" s="1">
        <v>23</v>
      </c>
      <c r="Q7" s="1" t="s">
        <v>102</v>
      </c>
      <c r="R7" s="1">
        <v>124.53</v>
      </c>
      <c r="S7" s="1">
        <v>2.4</v>
      </c>
      <c r="T7" s="1">
        <v>0.74</v>
      </c>
      <c r="U7" s="1" t="s">
        <v>102</v>
      </c>
      <c r="V7" s="1">
        <v>694</v>
      </c>
      <c r="W7" s="1">
        <v>42</v>
      </c>
      <c r="X7" s="1">
        <v>20</v>
      </c>
      <c r="Y7" s="1" t="s">
        <v>31</v>
      </c>
      <c r="Z7" s="1" t="s">
        <v>356</v>
      </c>
      <c r="AA7" s="1">
        <v>0.78</v>
      </c>
      <c r="AB7" s="1">
        <v>3</v>
      </c>
      <c r="AC7" s="1" t="s">
        <v>104</v>
      </c>
      <c r="AD7" s="1" t="s">
        <v>350</v>
      </c>
    </row>
    <row r="8" spans="1:30" x14ac:dyDescent="0.35">
      <c r="A8" s="1" t="s">
        <v>182</v>
      </c>
      <c r="B8" s="1" t="s">
        <v>157</v>
      </c>
      <c r="C8" s="1">
        <v>49.3</v>
      </c>
      <c r="D8" s="1">
        <v>2.2999999999999998</v>
      </c>
      <c r="E8" s="1">
        <v>50.9</v>
      </c>
      <c r="F8" s="1">
        <v>47.9</v>
      </c>
      <c r="G8" s="1">
        <v>1.66</v>
      </c>
      <c r="H8" s="1">
        <v>21.4</v>
      </c>
      <c r="I8" s="1">
        <v>173</v>
      </c>
      <c r="J8" s="1">
        <v>75</v>
      </c>
      <c r="K8" s="1">
        <v>234</v>
      </c>
      <c r="L8" s="1" t="s">
        <v>150</v>
      </c>
      <c r="M8" s="1">
        <v>100</v>
      </c>
      <c r="N8" s="1">
        <v>1.02</v>
      </c>
      <c r="O8" s="1">
        <v>89</v>
      </c>
      <c r="P8" s="1">
        <v>9</v>
      </c>
      <c r="Q8" s="1" t="s">
        <v>102</v>
      </c>
      <c r="R8" s="1">
        <v>276.01</v>
      </c>
      <c r="S8" s="1">
        <v>2.1</v>
      </c>
      <c r="T8" s="1">
        <v>-0.33</v>
      </c>
      <c r="U8" s="1" t="s">
        <v>102</v>
      </c>
      <c r="V8" s="1">
        <v>1657</v>
      </c>
      <c r="W8" s="1">
        <v>3</v>
      </c>
      <c r="X8" s="1">
        <v>61</v>
      </c>
      <c r="Y8" s="1" t="s">
        <v>169</v>
      </c>
      <c r="Z8" s="1" t="s">
        <v>357</v>
      </c>
      <c r="AA8" s="1">
        <v>0.75</v>
      </c>
      <c r="AB8" s="1">
        <v>5</v>
      </c>
      <c r="AC8" s="1" t="s">
        <v>104</v>
      </c>
      <c r="AD8" s="1" t="s">
        <v>352</v>
      </c>
    </row>
    <row r="9" spans="1:30" x14ac:dyDescent="0.35">
      <c r="A9" s="1" t="s">
        <v>183</v>
      </c>
      <c r="B9" s="1" t="s">
        <v>162</v>
      </c>
      <c r="C9" s="1">
        <v>53.5</v>
      </c>
      <c r="D9" s="1">
        <v>1.3</v>
      </c>
      <c r="E9" s="1">
        <v>54.6</v>
      </c>
      <c r="F9" s="1">
        <v>52</v>
      </c>
      <c r="G9" s="1">
        <v>3.76</v>
      </c>
      <c r="H9" s="1">
        <v>10</v>
      </c>
      <c r="I9" s="1">
        <v>171</v>
      </c>
      <c r="J9" s="1">
        <v>111</v>
      </c>
      <c r="K9" s="1">
        <v>91</v>
      </c>
      <c r="L9" s="1" t="s">
        <v>145</v>
      </c>
      <c r="M9" s="1">
        <v>95.6</v>
      </c>
      <c r="N9" s="1">
        <v>1.23</v>
      </c>
      <c r="O9" s="1">
        <v>66</v>
      </c>
      <c r="P9" s="1">
        <v>6</v>
      </c>
      <c r="Q9" s="1" t="s">
        <v>102</v>
      </c>
      <c r="R9" s="1">
        <v>247.05</v>
      </c>
      <c r="S9" s="1">
        <v>0.7</v>
      </c>
      <c r="T9" s="1">
        <v>0.94</v>
      </c>
      <c r="U9" s="1" t="s">
        <v>102</v>
      </c>
      <c r="V9" s="1">
        <v>2618</v>
      </c>
      <c r="W9" s="1">
        <v>11</v>
      </c>
      <c r="X9" s="1">
        <v>30</v>
      </c>
      <c r="Y9" s="1" t="s">
        <v>36</v>
      </c>
      <c r="Z9" s="1" t="s">
        <v>358</v>
      </c>
      <c r="AA9" s="1">
        <v>0.78</v>
      </c>
      <c r="AB9" s="1">
        <v>7</v>
      </c>
      <c r="AC9" s="1" t="s">
        <v>104</v>
      </c>
      <c r="AD9" s="1" t="s">
        <v>350</v>
      </c>
    </row>
    <row r="10" spans="1:30" x14ac:dyDescent="0.35">
      <c r="A10" s="1" t="s">
        <v>184</v>
      </c>
      <c r="B10" s="1" t="s">
        <v>156</v>
      </c>
      <c r="C10" s="1">
        <v>58.7</v>
      </c>
      <c r="D10" s="1">
        <v>0.9</v>
      </c>
      <c r="E10" s="1">
        <v>62.6</v>
      </c>
      <c r="F10" s="1">
        <v>55</v>
      </c>
      <c r="G10" s="1">
        <v>4.46</v>
      </c>
      <c r="H10" s="1">
        <v>16.100000000000001</v>
      </c>
      <c r="I10" s="1">
        <v>246</v>
      </c>
      <c r="J10" s="1">
        <v>89</v>
      </c>
      <c r="K10" s="1">
        <v>231</v>
      </c>
      <c r="L10" s="1" t="s">
        <v>146</v>
      </c>
      <c r="M10" s="1">
        <v>98.1</v>
      </c>
      <c r="N10" s="1">
        <v>1.01</v>
      </c>
      <c r="O10" s="1">
        <v>91</v>
      </c>
      <c r="P10" s="1">
        <v>21</v>
      </c>
      <c r="Q10" s="1" t="s">
        <v>102</v>
      </c>
      <c r="R10" s="1">
        <v>268.77999999999997</v>
      </c>
      <c r="S10" s="1">
        <v>-2.6</v>
      </c>
      <c r="T10" s="1">
        <v>0.93</v>
      </c>
      <c r="U10" s="1" t="s">
        <v>301</v>
      </c>
      <c r="V10" s="1">
        <v>1781</v>
      </c>
      <c r="W10" s="1">
        <v>13</v>
      </c>
      <c r="X10" s="1">
        <v>70</v>
      </c>
      <c r="Y10" s="1" t="s">
        <v>36</v>
      </c>
      <c r="Z10" s="1" t="s">
        <v>359</v>
      </c>
      <c r="AA10" s="1">
        <v>0.72</v>
      </c>
      <c r="AB10" s="1">
        <v>1</v>
      </c>
      <c r="AC10" s="1" t="s">
        <v>305</v>
      </c>
      <c r="AD10" s="1" t="s">
        <v>352</v>
      </c>
    </row>
    <row r="11" spans="1:30" x14ac:dyDescent="0.35">
      <c r="A11" s="1" t="s">
        <v>185</v>
      </c>
      <c r="B11" s="1" t="s">
        <v>158</v>
      </c>
      <c r="C11" s="1">
        <v>55.7</v>
      </c>
      <c r="D11" s="1">
        <v>2.2999999999999998</v>
      </c>
      <c r="E11" s="1">
        <v>59</v>
      </c>
      <c r="F11" s="1">
        <v>51.7</v>
      </c>
      <c r="G11" s="1">
        <v>3.9</v>
      </c>
      <c r="H11" s="1">
        <v>18</v>
      </c>
      <c r="I11" s="1">
        <v>391</v>
      </c>
      <c r="J11" s="1">
        <v>105</v>
      </c>
      <c r="K11" s="1">
        <v>239</v>
      </c>
      <c r="L11" s="1" t="s">
        <v>148</v>
      </c>
      <c r="M11" s="1">
        <v>98.3</v>
      </c>
      <c r="N11" s="1">
        <v>0.9</v>
      </c>
      <c r="O11" s="1">
        <v>38</v>
      </c>
      <c r="P11" s="1">
        <v>29</v>
      </c>
      <c r="Q11" s="1" t="s">
        <v>301</v>
      </c>
      <c r="R11" s="1">
        <v>58.5</v>
      </c>
      <c r="S11" s="1">
        <v>-4.5999999999999996</v>
      </c>
      <c r="T11" s="1">
        <v>0.5</v>
      </c>
      <c r="U11" s="1" t="s">
        <v>102</v>
      </c>
      <c r="V11" s="1">
        <v>980</v>
      </c>
      <c r="W11" s="1">
        <v>41</v>
      </c>
      <c r="X11" s="1">
        <v>11</v>
      </c>
      <c r="Y11" s="1" t="s">
        <v>168</v>
      </c>
      <c r="Z11" s="1" t="s">
        <v>360</v>
      </c>
      <c r="AA11" s="1">
        <v>0.73</v>
      </c>
      <c r="AB11" s="1">
        <v>2</v>
      </c>
      <c r="AC11" s="1" t="s">
        <v>305</v>
      </c>
      <c r="AD11" s="1" t="s">
        <v>350</v>
      </c>
    </row>
    <row r="12" spans="1:30" x14ac:dyDescent="0.35">
      <c r="A12" s="1" t="s">
        <v>310</v>
      </c>
      <c r="B12" s="1" t="s">
        <v>158</v>
      </c>
      <c r="C12" s="1">
        <v>55.1</v>
      </c>
      <c r="D12" s="1">
        <v>1</v>
      </c>
      <c r="E12" s="1">
        <v>57.4</v>
      </c>
      <c r="F12" s="1">
        <v>53.1</v>
      </c>
      <c r="G12" s="1">
        <v>3</v>
      </c>
      <c r="H12" s="1">
        <v>13.6</v>
      </c>
      <c r="I12" s="1">
        <v>174</v>
      </c>
      <c r="J12" s="1">
        <v>79</v>
      </c>
      <c r="K12" s="1">
        <v>139</v>
      </c>
      <c r="L12" s="1" t="s">
        <v>143</v>
      </c>
      <c r="M12" s="1">
        <v>99.8</v>
      </c>
      <c r="N12" s="1">
        <v>0.79</v>
      </c>
      <c r="O12" s="1">
        <v>59</v>
      </c>
      <c r="P12" s="1">
        <v>18</v>
      </c>
      <c r="Q12" s="1" t="s">
        <v>102</v>
      </c>
      <c r="R12" s="1">
        <v>69.87</v>
      </c>
      <c r="S12" s="1">
        <v>2.1</v>
      </c>
      <c r="T12" s="1">
        <v>0.35</v>
      </c>
      <c r="U12" s="1" t="s">
        <v>102</v>
      </c>
      <c r="V12" s="1">
        <v>3511</v>
      </c>
      <c r="W12" s="1">
        <v>24</v>
      </c>
      <c r="X12" s="1">
        <v>36</v>
      </c>
      <c r="Y12" s="1" t="s">
        <v>167</v>
      </c>
      <c r="Z12" s="1" t="s">
        <v>361</v>
      </c>
      <c r="AA12" s="1">
        <v>0.93</v>
      </c>
      <c r="AB12" s="1">
        <v>5</v>
      </c>
      <c r="AC12" s="1" t="s">
        <v>104</v>
      </c>
      <c r="AD12" s="1" t="s">
        <v>350</v>
      </c>
    </row>
    <row r="13" spans="1:30" x14ac:dyDescent="0.35">
      <c r="A13" s="1" t="s">
        <v>311</v>
      </c>
      <c r="B13" s="1" t="s">
        <v>160</v>
      </c>
      <c r="C13" s="1">
        <v>44.9</v>
      </c>
      <c r="D13" s="1">
        <v>2.4</v>
      </c>
      <c r="E13" s="1">
        <v>47.8</v>
      </c>
      <c r="F13" s="1">
        <v>40.700000000000003</v>
      </c>
      <c r="G13" s="1">
        <v>3.1</v>
      </c>
      <c r="H13" s="1">
        <v>22.1</v>
      </c>
      <c r="I13" s="1">
        <v>190</v>
      </c>
      <c r="J13" s="1">
        <v>98</v>
      </c>
      <c r="K13" s="1">
        <v>200</v>
      </c>
      <c r="L13" s="1" t="s">
        <v>148</v>
      </c>
      <c r="M13" s="1">
        <v>98.9</v>
      </c>
      <c r="N13" s="1">
        <v>0.41</v>
      </c>
      <c r="O13" s="1">
        <v>55</v>
      </c>
      <c r="P13" s="1">
        <v>2</v>
      </c>
      <c r="Q13" s="1" t="s">
        <v>102</v>
      </c>
      <c r="R13" s="1">
        <v>232.91</v>
      </c>
      <c r="S13" s="1">
        <v>2.2999999999999998</v>
      </c>
      <c r="T13" s="1">
        <v>-0.12</v>
      </c>
      <c r="U13" s="1" t="s">
        <v>102</v>
      </c>
      <c r="V13" s="1">
        <v>3402</v>
      </c>
      <c r="W13" s="1">
        <v>26</v>
      </c>
      <c r="X13" s="1">
        <v>3</v>
      </c>
      <c r="Y13" s="1" t="s">
        <v>34</v>
      </c>
      <c r="Z13" s="1" t="s">
        <v>362</v>
      </c>
      <c r="AA13" s="1">
        <v>0.84</v>
      </c>
      <c r="AB13" s="1">
        <v>0</v>
      </c>
      <c r="AC13" s="1" t="s">
        <v>104</v>
      </c>
      <c r="AD13" s="1" t="s">
        <v>350</v>
      </c>
    </row>
    <row r="14" spans="1:30" x14ac:dyDescent="0.35">
      <c r="A14" s="1" t="s">
        <v>312</v>
      </c>
      <c r="B14" s="1" t="s">
        <v>163</v>
      </c>
      <c r="C14" s="1">
        <v>52.8</v>
      </c>
      <c r="D14" s="1">
        <v>2.2000000000000002</v>
      </c>
      <c r="E14" s="1">
        <v>55.1</v>
      </c>
      <c r="F14" s="1">
        <v>49.9</v>
      </c>
      <c r="G14" s="1">
        <v>3.31</v>
      </c>
      <c r="H14" s="1">
        <v>24.7</v>
      </c>
      <c r="I14" s="1">
        <v>208</v>
      </c>
      <c r="J14" s="1">
        <v>87</v>
      </c>
      <c r="K14" s="1">
        <v>87</v>
      </c>
      <c r="L14" s="1" t="s">
        <v>152</v>
      </c>
      <c r="M14" s="1">
        <v>95.3</v>
      </c>
      <c r="N14" s="1">
        <v>0.12</v>
      </c>
      <c r="O14" s="1">
        <v>17</v>
      </c>
      <c r="P14" s="1">
        <v>8</v>
      </c>
      <c r="Q14" s="1" t="s">
        <v>363</v>
      </c>
      <c r="R14" s="1">
        <v>227.45</v>
      </c>
      <c r="S14" s="1">
        <v>4</v>
      </c>
      <c r="T14" s="1">
        <v>-0.26</v>
      </c>
      <c r="U14" s="1" t="s">
        <v>102</v>
      </c>
      <c r="V14" s="1">
        <v>1846</v>
      </c>
      <c r="W14" s="1">
        <v>27</v>
      </c>
      <c r="X14" s="1">
        <v>34</v>
      </c>
      <c r="Y14" s="1" t="s">
        <v>169</v>
      </c>
      <c r="Z14" s="1" t="s">
        <v>364</v>
      </c>
      <c r="AA14" s="1">
        <v>0.71</v>
      </c>
      <c r="AB14" s="1">
        <v>6</v>
      </c>
      <c r="AC14" s="1" t="s">
        <v>305</v>
      </c>
      <c r="AD14" s="1" t="s">
        <v>350</v>
      </c>
    </row>
    <row r="15" spans="1:30" x14ac:dyDescent="0.35">
      <c r="A15" s="1" t="s">
        <v>313</v>
      </c>
      <c r="B15" s="1" t="s">
        <v>164</v>
      </c>
      <c r="C15" s="1">
        <v>59.7</v>
      </c>
      <c r="D15" s="1">
        <v>1.8</v>
      </c>
      <c r="E15" s="1">
        <v>62.4</v>
      </c>
      <c r="F15" s="1">
        <v>57.4</v>
      </c>
      <c r="G15" s="1">
        <v>1.89</v>
      </c>
      <c r="H15" s="1">
        <v>19.100000000000001</v>
      </c>
      <c r="I15" s="1">
        <v>381</v>
      </c>
      <c r="J15" s="1">
        <v>70</v>
      </c>
      <c r="K15" s="1">
        <v>94</v>
      </c>
      <c r="L15" s="1" t="s">
        <v>149</v>
      </c>
      <c r="M15" s="1">
        <v>98.3</v>
      </c>
      <c r="N15" s="1">
        <v>0.31</v>
      </c>
      <c r="O15" s="1">
        <v>71</v>
      </c>
      <c r="P15" s="1">
        <v>1</v>
      </c>
      <c r="Q15" s="1" t="s">
        <v>102</v>
      </c>
      <c r="R15" s="1">
        <v>66.91</v>
      </c>
      <c r="S15" s="1">
        <v>3.8</v>
      </c>
      <c r="T15" s="1">
        <v>0.62</v>
      </c>
      <c r="U15" s="1" t="s">
        <v>102</v>
      </c>
      <c r="V15" s="1">
        <v>1040</v>
      </c>
      <c r="W15" s="1">
        <v>42</v>
      </c>
      <c r="X15" s="1">
        <v>24</v>
      </c>
      <c r="Y15" s="1" t="s">
        <v>31</v>
      </c>
      <c r="Z15" s="1" t="s">
        <v>365</v>
      </c>
      <c r="AA15" s="1">
        <v>0.93</v>
      </c>
      <c r="AB15" s="1">
        <v>4</v>
      </c>
      <c r="AC15" s="1" t="s">
        <v>104</v>
      </c>
      <c r="AD15" s="1" t="s">
        <v>352</v>
      </c>
    </row>
    <row r="16" spans="1:30" x14ac:dyDescent="0.35">
      <c r="A16" s="1" t="s">
        <v>314</v>
      </c>
      <c r="B16" s="1" t="s">
        <v>159</v>
      </c>
      <c r="C16" s="1">
        <v>54</v>
      </c>
      <c r="D16" s="1">
        <v>1.4</v>
      </c>
      <c r="E16" s="1">
        <v>55.4</v>
      </c>
      <c r="F16" s="1">
        <v>52</v>
      </c>
      <c r="G16" s="1">
        <v>2.89</v>
      </c>
      <c r="H16" s="1">
        <v>23.3</v>
      </c>
      <c r="I16" s="1">
        <v>397</v>
      </c>
      <c r="J16" s="1">
        <v>64</v>
      </c>
      <c r="K16" s="1">
        <v>67</v>
      </c>
      <c r="L16" s="1" t="s">
        <v>151</v>
      </c>
      <c r="M16" s="1">
        <v>95.9</v>
      </c>
      <c r="N16" s="1">
        <v>0.22</v>
      </c>
      <c r="O16" s="1">
        <v>15</v>
      </c>
      <c r="P16" s="1">
        <v>1</v>
      </c>
      <c r="Q16" s="1" t="s">
        <v>102</v>
      </c>
      <c r="R16" s="1">
        <v>50.7</v>
      </c>
      <c r="S16" s="1">
        <v>-1.5</v>
      </c>
      <c r="T16" s="1">
        <v>-0.35</v>
      </c>
      <c r="U16" s="1" t="s">
        <v>309</v>
      </c>
      <c r="V16" s="1">
        <v>2970</v>
      </c>
      <c r="W16" s="1">
        <v>28</v>
      </c>
      <c r="X16" s="1">
        <v>10</v>
      </c>
      <c r="Y16" s="1" t="s">
        <v>167</v>
      </c>
      <c r="Z16" s="1" t="s">
        <v>366</v>
      </c>
      <c r="AA16" s="1">
        <v>0.82</v>
      </c>
      <c r="AB16" s="1">
        <v>3</v>
      </c>
      <c r="AC16" s="1" t="s">
        <v>104</v>
      </c>
      <c r="AD16" s="1" t="s">
        <v>367</v>
      </c>
    </row>
    <row r="17" spans="1:30" x14ac:dyDescent="0.35">
      <c r="A17" s="1" t="s">
        <v>315</v>
      </c>
      <c r="B17" s="1" t="s">
        <v>158</v>
      </c>
      <c r="C17" s="1">
        <v>52.8</v>
      </c>
      <c r="D17" s="1">
        <v>1</v>
      </c>
      <c r="E17" s="1">
        <v>56.3</v>
      </c>
      <c r="F17" s="1">
        <v>49.6</v>
      </c>
      <c r="G17" s="1">
        <v>3.01</v>
      </c>
      <c r="H17" s="1">
        <v>21.9</v>
      </c>
      <c r="I17" s="1">
        <v>385</v>
      </c>
      <c r="J17" s="1">
        <v>114</v>
      </c>
      <c r="K17" s="1">
        <v>89</v>
      </c>
      <c r="L17" s="1" t="s">
        <v>144</v>
      </c>
      <c r="M17" s="1">
        <v>98.5</v>
      </c>
      <c r="N17" s="1">
        <v>1.04</v>
      </c>
      <c r="O17" s="1">
        <v>74</v>
      </c>
      <c r="P17" s="1">
        <v>18</v>
      </c>
      <c r="Q17" s="1" t="s">
        <v>102</v>
      </c>
      <c r="R17" s="1">
        <v>259.16000000000003</v>
      </c>
      <c r="S17" s="1">
        <v>3.9</v>
      </c>
      <c r="T17" s="1">
        <v>-0.38</v>
      </c>
      <c r="U17" s="1" t="s">
        <v>102</v>
      </c>
      <c r="V17" s="1">
        <v>2712</v>
      </c>
      <c r="W17" s="1">
        <v>27</v>
      </c>
      <c r="X17" s="1">
        <v>7</v>
      </c>
      <c r="Y17" s="1" t="s">
        <v>36</v>
      </c>
      <c r="Z17" s="1" t="s">
        <v>171</v>
      </c>
      <c r="AA17" s="1">
        <v>0.94</v>
      </c>
      <c r="AB17" s="1">
        <v>1</v>
      </c>
      <c r="AC17" s="1" t="s">
        <v>104</v>
      </c>
      <c r="AD17" s="1" t="s">
        <v>350</v>
      </c>
    </row>
    <row r="18" spans="1:30" x14ac:dyDescent="0.35">
      <c r="A18" s="1" t="s">
        <v>316</v>
      </c>
      <c r="B18" s="1" t="s">
        <v>157</v>
      </c>
      <c r="C18" s="1">
        <v>42.1</v>
      </c>
      <c r="D18" s="1">
        <v>1.6</v>
      </c>
      <c r="E18" s="1">
        <v>44.3</v>
      </c>
      <c r="F18" s="1">
        <v>39</v>
      </c>
      <c r="G18" s="1">
        <v>2.5299999999999998</v>
      </c>
      <c r="H18" s="1">
        <v>17.100000000000001</v>
      </c>
      <c r="I18" s="1">
        <v>418</v>
      </c>
      <c r="J18" s="1">
        <v>112</v>
      </c>
      <c r="K18" s="1">
        <v>91</v>
      </c>
      <c r="L18" s="1" t="s">
        <v>149</v>
      </c>
      <c r="M18" s="1">
        <v>98.9</v>
      </c>
      <c r="N18" s="1">
        <v>1.25</v>
      </c>
      <c r="O18" s="1">
        <v>84</v>
      </c>
      <c r="P18" s="1">
        <v>10</v>
      </c>
      <c r="Q18" s="1" t="s">
        <v>102</v>
      </c>
      <c r="R18" s="1">
        <v>177.86</v>
      </c>
      <c r="S18" s="1">
        <v>1.2</v>
      </c>
      <c r="T18" s="1">
        <v>0.25</v>
      </c>
      <c r="U18" s="1" t="s">
        <v>102</v>
      </c>
      <c r="V18" s="1">
        <v>4182</v>
      </c>
      <c r="W18" s="1">
        <v>25</v>
      </c>
      <c r="X18" s="1">
        <v>24</v>
      </c>
      <c r="Y18" s="1" t="s">
        <v>167</v>
      </c>
      <c r="Z18" s="1" t="s">
        <v>351</v>
      </c>
      <c r="AA18" s="1">
        <v>0.93</v>
      </c>
      <c r="AB18" s="1">
        <v>2</v>
      </c>
      <c r="AC18" s="1" t="s">
        <v>104</v>
      </c>
      <c r="AD18" s="1" t="s">
        <v>350</v>
      </c>
    </row>
    <row r="19" spans="1:30" x14ac:dyDescent="0.35">
      <c r="A19" s="1" t="s">
        <v>317</v>
      </c>
      <c r="B19" s="1" t="s">
        <v>155</v>
      </c>
      <c r="C19" s="1">
        <v>51.6</v>
      </c>
      <c r="D19" s="1">
        <v>1.3</v>
      </c>
      <c r="E19" s="1">
        <v>55.4</v>
      </c>
      <c r="F19" s="1">
        <v>49.5</v>
      </c>
      <c r="G19" s="1">
        <v>1.89</v>
      </c>
      <c r="H19" s="1">
        <v>23.8</v>
      </c>
      <c r="I19" s="1">
        <v>412</v>
      </c>
      <c r="J19" s="1">
        <v>104</v>
      </c>
      <c r="K19" s="1">
        <v>218</v>
      </c>
      <c r="L19" s="1" t="s">
        <v>152</v>
      </c>
      <c r="M19" s="1">
        <v>97.3</v>
      </c>
      <c r="N19" s="1">
        <v>0.34</v>
      </c>
      <c r="O19" s="1">
        <v>45</v>
      </c>
      <c r="P19" s="1">
        <v>14</v>
      </c>
      <c r="Q19" s="1" t="s">
        <v>102</v>
      </c>
      <c r="R19" s="1">
        <v>104.15</v>
      </c>
      <c r="S19" s="1">
        <v>4</v>
      </c>
      <c r="T19" s="1">
        <v>-0.32</v>
      </c>
      <c r="U19" s="1" t="s">
        <v>309</v>
      </c>
      <c r="V19" s="1">
        <v>3775</v>
      </c>
      <c r="W19" s="1">
        <v>9</v>
      </c>
      <c r="X19" s="1">
        <v>77</v>
      </c>
      <c r="Y19" s="1" t="s">
        <v>34</v>
      </c>
      <c r="Z19" s="1" t="s">
        <v>353</v>
      </c>
      <c r="AA19" s="1">
        <v>0.88</v>
      </c>
      <c r="AB19" s="1">
        <v>2</v>
      </c>
      <c r="AC19" s="1" t="s">
        <v>305</v>
      </c>
      <c r="AD19" s="1" t="s">
        <v>350</v>
      </c>
    </row>
    <row r="20" spans="1:30" x14ac:dyDescent="0.35">
      <c r="A20" s="1" t="s">
        <v>318</v>
      </c>
      <c r="B20" s="1" t="s">
        <v>156</v>
      </c>
      <c r="C20" s="1">
        <v>43.6</v>
      </c>
      <c r="D20" s="1">
        <v>2.2000000000000002</v>
      </c>
      <c r="E20" s="1">
        <v>45.7</v>
      </c>
      <c r="F20" s="1">
        <v>41.3</v>
      </c>
      <c r="G20" s="1">
        <v>2.42</v>
      </c>
      <c r="H20" s="1">
        <v>13.9</v>
      </c>
      <c r="I20" s="1">
        <v>154</v>
      </c>
      <c r="J20" s="1">
        <v>95</v>
      </c>
      <c r="K20" s="1">
        <v>108</v>
      </c>
      <c r="L20" s="1" t="s">
        <v>101</v>
      </c>
      <c r="M20" s="1">
        <v>96</v>
      </c>
      <c r="N20" s="1">
        <v>1.46</v>
      </c>
      <c r="O20" s="1">
        <v>68</v>
      </c>
      <c r="P20" s="1">
        <v>16</v>
      </c>
      <c r="Q20" s="1" t="s">
        <v>102</v>
      </c>
      <c r="R20" s="1">
        <v>299.48</v>
      </c>
      <c r="S20" s="1">
        <v>0.3</v>
      </c>
      <c r="T20" s="1">
        <v>-0.49</v>
      </c>
      <c r="U20" s="1" t="s">
        <v>102</v>
      </c>
      <c r="V20" s="1">
        <v>1827</v>
      </c>
      <c r="W20" s="1">
        <v>1</v>
      </c>
      <c r="X20" s="1">
        <v>34</v>
      </c>
      <c r="Y20" s="1" t="s">
        <v>169</v>
      </c>
      <c r="Z20" s="1" t="s">
        <v>354</v>
      </c>
      <c r="AA20" s="1">
        <v>0.89</v>
      </c>
      <c r="AB20" s="1">
        <v>0</v>
      </c>
      <c r="AC20" s="1" t="s">
        <v>104</v>
      </c>
      <c r="AD20" s="1" t="s">
        <v>350</v>
      </c>
    </row>
    <row r="21" spans="1:30" x14ac:dyDescent="0.35">
      <c r="A21" s="1" t="s">
        <v>319</v>
      </c>
      <c r="B21" s="1" t="s">
        <v>155</v>
      </c>
      <c r="C21" s="1">
        <v>48</v>
      </c>
      <c r="D21" s="1">
        <v>2.2999999999999998</v>
      </c>
      <c r="E21" s="1">
        <v>52.8</v>
      </c>
      <c r="F21" s="1">
        <v>43.1</v>
      </c>
      <c r="G21" s="1">
        <v>1.71</v>
      </c>
      <c r="H21" s="1">
        <v>14.8</v>
      </c>
      <c r="I21" s="1">
        <v>310</v>
      </c>
      <c r="J21" s="1">
        <v>101</v>
      </c>
      <c r="K21" s="1">
        <v>191</v>
      </c>
      <c r="L21" s="1" t="s">
        <v>101</v>
      </c>
      <c r="M21" s="1">
        <v>96.3</v>
      </c>
      <c r="N21" s="1">
        <v>0.33</v>
      </c>
      <c r="O21" s="1">
        <v>72</v>
      </c>
      <c r="P21" s="1">
        <v>8</v>
      </c>
      <c r="Q21" s="1" t="s">
        <v>102</v>
      </c>
      <c r="R21" s="1">
        <v>204.28</v>
      </c>
      <c r="S21" s="1">
        <v>-3.3</v>
      </c>
      <c r="T21" s="1">
        <v>0.18</v>
      </c>
      <c r="U21" s="1" t="s">
        <v>309</v>
      </c>
      <c r="V21" s="1">
        <v>1704</v>
      </c>
      <c r="W21" s="1">
        <v>30</v>
      </c>
      <c r="X21" s="1">
        <v>20</v>
      </c>
      <c r="Y21" s="1" t="s">
        <v>168</v>
      </c>
      <c r="Z21" s="1" t="s">
        <v>355</v>
      </c>
      <c r="AA21" s="1">
        <v>0.87</v>
      </c>
      <c r="AB21" s="1">
        <v>0</v>
      </c>
      <c r="AC21" s="1" t="s">
        <v>104</v>
      </c>
      <c r="AD21" s="1" t="s">
        <v>350</v>
      </c>
    </row>
    <row r="22" spans="1:30" x14ac:dyDescent="0.35">
      <c r="A22" s="1" t="s">
        <v>320</v>
      </c>
      <c r="B22" s="1" t="s">
        <v>162</v>
      </c>
      <c r="C22" s="1">
        <v>42.3</v>
      </c>
      <c r="D22" s="1">
        <v>1.1000000000000001</v>
      </c>
      <c r="E22" s="1">
        <v>46.5</v>
      </c>
      <c r="F22" s="1">
        <v>38.1</v>
      </c>
      <c r="G22" s="1">
        <v>1.9</v>
      </c>
      <c r="H22" s="1">
        <v>16</v>
      </c>
      <c r="I22" s="1">
        <v>211</v>
      </c>
      <c r="J22" s="1">
        <v>100</v>
      </c>
      <c r="K22" s="1">
        <v>161</v>
      </c>
      <c r="L22" s="1" t="s">
        <v>145</v>
      </c>
      <c r="M22" s="1">
        <v>96</v>
      </c>
      <c r="N22" s="1">
        <v>1.1200000000000001</v>
      </c>
      <c r="O22" s="1">
        <v>54</v>
      </c>
      <c r="P22" s="1">
        <v>4</v>
      </c>
      <c r="Q22" s="1" t="s">
        <v>102</v>
      </c>
      <c r="R22" s="1">
        <v>215.25</v>
      </c>
      <c r="S22" s="1">
        <v>5</v>
      </c>
      <c r="T22" s="1">
        <v>-0.99</v>
      </c>
      <c r="U22" s="1" t="s">
        <v>102</v>
      </c>
      <c r="V22" s="1">
        <v>1009</v>
      </c>
      <c r="W22" s="1">
        <v>10</v>
      </c>
      <c r="X22" s="1">
        <v>28</v>
      </c>
      <c r="Y22" s="1" t="s">
        <v>31</v>
      </c>
      <c r="Z22" s="1" t="s">
        <v>356</v>
      </c>
      <c r="AA22" s="1">
        <v>0.8</v>
      </c>
      <c r="AB22" s="1">
        <v>3</v>
      </c>
      <c r="AC22" s="1" t="s">
        <v>104</v>
      </c>
      <c r="AD22" s="1" t="s">
        <v>350</v>
      </c>
    </row>
    <row r="23" spans="1:30" x14ac:dyDescent="0.35">
      <c r="A23" s="1" t="s">
        <v>321</v>
      </c>
      <c r="B23" s="1" t="s">
        <v>156</v>
      </c>
      <c r="C23" s="1">
        <v>55.5</v>
      </c>
      <c r="D23" s="1">
        <v>0.8</v>
      </c>
      <c r="E23" s="1">
        <v>58.2</v>
      </c>
      <c r="F23" s="1">
        <v>54.2</v>
      </c>
      <c r="G23" s="1">
        <v>3.6</v>
      </c>
      <c r="H23" s="1">
        <v>15.2</v>
      </c>
      <c r="I23" s="1">
        <v>210</v>
      </c>
      <c r="J23" s="1">
        <v>116</v>
      </c>
      <c r="K23" s="1">
        <v>183</v>
      </c>
      <c r="L23" s="1" t="s">
        <v>152</v>
      </c>
      <c r="M23" s="1">
        <v>98.6</v>
      </c>
      <c r="N23" s="1">
        <v>0.59</v>
      </c>
      <c r="O23" s="1">
        <v>97</v>
      </c>
      <c r="P23" s="1">
        <v>13</v>
      </c>
      <c r="Q23" s="1" t="s">
        <v>102</v>
      </c>
      <c r="R23" s="1">
        <v>275.26</v>
      </c>
      <c r="S23" s="1">
        <v>1.3</v>
      </c>
      <c r="T23" s="1">
        <v>0.64</v>
      </c>
      <c r="U23" s="1" t="s">
        <v>102</v>
      </c>
      <c r="V23" s="1">
        <v>1920</v>
      </c>
      <c r="W23" s="1">
        <v>40</v>
      </c>
      <c r="X23" s="1">
        <v>15</v>
      </c>
      <c r="Y23" s="1" t="s">
        <v>34</v>
      </c>
      <c r="Z23" s="1" t="s">
        <v>357</v>
      </c>
      <c r="AA23" s="1">
        <v>0.72</v>
      </c>
      <c r="AB23" s="1">
        <v>5</v>
      </c>
      <c r="AC23" s="1" t="s">
        <v>305</v>
      </c>
      <c r="AD23" s="1" t="s">
        <v>350</v>
      </c>
    </row>
    <row r="24" spans="1:30" x14ac:dyDescent="0.35">
      <c r="A24" s="1" t="s">
        <v>322</v>
      </c>
      <c r="B24" s="1" t="s">
        <v>161</v>
      </c>
      <c r="C24" s="1">
        <v>52.8</v>
      </c>
      <c r="D24" s="1">
        <v>2.4</v>
      </c>
      <c r="E24" s="1">
        <v>54.9</v>
      </c>
      <c r="F24" s="1">
        <v>51.5</v>
      </c>
      <c r="G24" s="1">
        <v>4.1399999999999997</v>
      </c>
      <c r="H24" s="1">
        <v>20.3</v>
      </c>
      <c r="I24" s="1">
        <v>395</v>
      </c>
      <c r="J24" s="1">
        <v>72</v>
      </c>
      <c r="K24" s="1">
        <v>134</v>
      </c>
      <c r="L24" s="1" t="s">
        <v>152</v>
      </c>
      <c r="M24" s="1">
        <v>98.2</v>
      </c>
      <c r="N24" s="1">
        <v>0.95</v>
      </c>
      <c r="O24" s="1">
        <v>29</v>
      </c>
      <c r="P24" s="1">
        <v>14</v>
      </c>
      <c r="Q24" s="1" t="s">
        <v>102</v>
      </c>
      <c r="R24" s="1">
        <v>294.05</v>
      </c>
      <c r="S24" s="1">
        <v>4</v>
      </c>
      <c r="T24" s="1">
        <v>-0.39</v>
      </c>
      <c r="U24" s="1" t="s">
        <v>309</v>
      </c>
      <c r="V24" s="1">
        <v>2727</v>
      </c>
      <c r="W24" s="1">
        <v>3</v>
      </c>
      <c r="X24" s="1">
        <v>89</v>
      </c>
      <c r="Y24" s="1" t="s">
        <v>31</v>
      </c>
      <c r="Z24" s="1" t="s">
        <v>358</v>
      </c>
      <c r="AA24" s="1">
        <v>0.71</v>
      </c>
      <c r="AB24" s="1">
        <v>5</v>
      </c>
      <c r="AC24" s="1" t="s">
        <v>305</v>
      </c>
      <c r="AD24" s="1" t="s">
        <v>350</v>
      </c>
    </row>
    <row r="25" spans="1:30" x14ac:dyDescent="0.35">
      <c r="A25" s="1" t="s">
        <v>323</v>
      </c>
      <c r="B25" s="1" t="s">
        <v>163</v>
      </c>
      <c r="C25" s="1">
        <v>42.5</v>
      </c>
      <c r="D25" s="1">
        <v>1.5</v>
      </c>
      <c r="E25" s="1">
        <v>47.2</v>
      </c>
      <c r="F25" s="1">
        <v>37.5</v>
      </c>
      <c r="G25" s="1">
        <v>2.71</v>
      </c>
      <c r="H25" s="1">
        <v>13.9</v>
      </c>
      <c r="I25" s="1">
        <v>219</v>
      </c>
      <c r="J25" s="1">
        <v>112</v>
      </c>
      <c r="K25" s="1">
        <v>198</v>
      </c>
      <c r="L25" s="1" t="s">
        <v>148</v>
      </c>
      <c r="M25" s="1">
        <v>96.6</v>
      </c>
      <c r="N25" s="1">
        <v>1.21</v>
      </c>
      <c r="O25" s="1">
        <v>25</v>
      </c>
      <c r="P25" s="1">
        <v>4</v>
      </c>
      <c r="Q25" s="1" t="s">
        <v>102</v>
      </c>
      <c r="R25" s="1">
        <v>223.8</v>
      </c>
      <c r="S25" s="1">
        <v>2.4</v>
      </c>
      <c r="T25" s="1">
        <v>0.77</v>
      </c>
      <c r="U25" s="1" t="s">
        <v>102</v>
      </c>
      <c r="V25" s="1">
        <v>1894</v>
      </c>
      <c r="W25" s="1">
        <v>15</v>
      </c>
      <c r="X25" s="1">
        <v>35</v>
      </c>
      <c r="Y25" s="1" t="s">
        <v>168</v>
      </c>
      <c r="Z25" s="1" t="s">
        <v>359</v>
      </c>
      <c r="AA25" s="1">
        <v>0.72</v>
      </c>
      <c r="AB25" s="1">
        <v>3</v>
      </c>
      <c r="AC25" s="1" t="s">
        <v>305</v>
      </c>
      <c r="AD25" s="1" t="s">
        <v>350</v>
      </c>
    </row>
    <row r="26" spans="1:30" x14ac:dyDescent="0.35">
      <c r="A26" s="1" t="s">
        <v>324</v>
      </c>
      <c r="B26" s="1" t="s">
        <v>100</v>
      </c>
      <c r="C26" s="1">
        <v>56.4</v>
      </c>
      <c r="D26" s="1">
        <v>1.7</v>
      </c>
      <c r="E26" s="1">
        <v>57.8</v>
      </c>
      <c r="F26" s="1">
        <v>51.4</v>
      </c>
      <c r="G26" s="1">
        <v>2.2200000000000002</v>
      </c>
      <c r="H26" s="1">
        <v>13.8</v>
      </c>
      <c r="I26" s="1">
        <v>324</v>
      </c>
      <c r="J26" s="1">
        <v>84</v>
      </c>
      <c r="K26" s="1">
        <v>187</v>
      </c>
      <c r="L26" s="1" t="s">
        <v>147</v>
      </c>
      <c r="M26" s="1">
        <v>99.7</v>
      </c>
      <c r="N26" s="1">
        <v>0.83</v>
      </c>
      <c r="O26" s="1">
        <v>88</v>
      </c>
      <c r="P26" s="1">
        <v>21</v>
      </c>
      <c r="Q26" s="1" t="s">
        <v>102</v>
      </c>
      <c r="R26" s="1">
        <v>143.16999999999999</v>
      </c>
      <c r="S26" s="1">
        <v>-1.4</v>
      </c>
      <c r="T26" s="1">
        <v>-0.24</v>
      </c>
      <c r="U26" s="1" t="s">
        <v>102</v>
      </c>
      <c r="V26" s="1">
        <v>4223</v>
      </c>
      <c r="W26" s="1">
        <v>29</v>
      </c>
      <c r="X26" s="1">
        <v>35</v>
      </c>
      <c r="Y26" s="1" t="s">
        <v>34</v>
      </c>
      <c r="Z26" s="1" t="s">
        <v>360</v>
      </c>
      <c r="AA26" s="1">
        <v>0.76</v>
      </c>
      <c r="AB26" s="1">
        <v>2</v>
      </c>
      <c r="AC26" s="1" t="s">
        <v>305</v>
      </c>
      <c r="AD26" s="1" t="s">
        <v>350</v>
      </c>
    </row>
    <row r="27" spans="1:30" x14ac:dyDescent="0.35">
      <c r="A27" s="1" t="s">
        <v>325</v>
      </c>
      <c r="B27" s="1" t="s">
        <v>164</v>
      </c>
      <c r="C27" s="1">
        <v>45.1</v>
      </c>
      <c r="D27" s="1">
        <v>1.6</v>
      </c>
      <c r="E27" s="1">
        <v>46.3</v>
      </c>
      <c r="F27" s="1">
        <v>43.1</v>
      </c>
      <c r="G27" s="1">
        <v>4.13</v>
      </c>
      <c r="H27" s="1">
        <v>22.2</v>
      </c>
      <c r="I27" s="1">
        <v>220</v>
      </c>
      <c r="J27" s="1">
        <v>72</v>
      </c>
      <c r="K27" s="1">
        <v>198</v>
      </c>
      <c r="L27" s="1" t="s">
        <v>149</v>
      </c>
      <c r="M27" s="1">
        <v>95.4</v>
      </c>
      <c r="N27" s="1">
        <v>1.21</v>
      </c>
      <c r="O27" s="1">
        <v>69</v>
      </c>
      <c r="P27" s="1">
        <v>8</v>
      </c>
      <c r="Q27" s="1" t="s">
        <v>102</v>
      </c>
      <c r="R27" s="1">
        <v>256.02999999999997</v>
      </c>
      <c r="S27" s="1">
        <v>1.3</v>
      </c>
      <c r="T27" s="1">
        <v>-0.15</v>
      </c>
      <c r="U27" s="1" t="s">
        <v>309</v>
      </c>
      <c r="V27" s="1">
        <v>4260</v>
      </c>
      <c r="W27" s="1">
        <v>30</v>
      </c>
      <c r="X27" s="1">
        <v>52</v>
      </c>
      <c r="Y27" s="1" t="s">
        <v>36</v>
      </c>
      <c r="Z27" s="1" t="s">
        <v>361</v>
      </c>
      <c r="AA27" s="1">
        <v>0.88</v>
      </c>
      <c r="AB27" s="1">
        <v>2</v>
      </c>
      <c r="AC27" s="1" t="s">
        <v>104</v>
      </c>
      <c r="AD27" s="1" t="s">
        <v>350</v>
      </c>
    </row>
    <row r="28" spans="1:30" x14ac:dyDescent="0.35">
      <c r="A28" s="1" t="s">
        <v>326</v>
      </c>
      <c r="B28" s="1" t="s">
        <v>156</v>
      </c>
      <c r="C28" s="1">
        <v>40.200000000000003</v>
      </c>
      <c r="D28" s="1">
        <v>1.1000000000000001</v>
      </c>
      <c r="E28" s="1">
        <v>43.3</v>
      </c>
      <c r="F28" s="1">
        <v>37.4</v>
      </c>
      <c r="G28" s="1">
        <v>2.0099999999999998</v>
      </c>
      <c r="H28" s="1">
        <v>24.2</v>
      </c>
      <c r="I28" s="1">
        <v>319</v>
      </c>
      <c r="J28" s="1">
        <v>107</v>
      </c>
      <c r="K28" s="1">
        <v>62</v>
      </c>
      <c r="L28" s="1" t="s">
        <v>146</v>
      </c>
      <c r="M28" s="1">
        <v>95.2</v>
      </c>
      <c r="N28" s="1">
        <v>0.92</v>
      </c>
      <c r="O28" s="1">
        <v>10</v>
      </c>
      <c r="P28" s="1">
        <v>24</v>
      </c>
      <c r="Q28" s="1" t="s">
        <v>102</v>
      </c>
      <c r="R28" s="1">
        <v>63.5</v>
      </c>
      <c r="S28" s="1">
        <v>-4.9000000000000004</v>
      </c>
      <c r="T28" s="1">
        <v>0.66</v>
      </c>
      <c r="U28" s="1" t="s">
        <v>102</v>
      </c>
      <c r="V28" s="1">
        <v>3847</v>
      </c>
      <c r="W28" s="1">
        <v>13</v>
      </c>
      <c r="X28" s="1">
        <v>62</v>
      </c>
      <c r="Y28" s="1" t="s">
        <v>34</v>
      </c>
      <c r="Z28" s="1" t="s">
        <v>362</v>
      </c>
      <c r="AA28" s="1">
        <v>0.77</v>
      </c>
      <c r="AB28" s="1">
        <v>6</v>
      </c>
      <c r="AC28" s="1" t="s">
        <v>305</v>
      </c>
      <c r="AD28" s="1" t="s">
        <v>368</v>
      </c>
    </row>
    <row r="29" spans="1:30" x14ac:dyDescent="0.35">
      <c r="A29" s="1" t="s">
        <v>327</v>
      </c>
      <c r="B29" s="1" t="s">
        <v>164</v>
      </c>
      <c r="C29" s="1">
        <v>57.6</v>
      </c>
      <c r="D29" s="1">
        <v>0.7</v>
      </c>
      <c r="E29" s="1">
        <v>61</v>
      </c>
      <c r="F29" s="1">
        <v>54.3</v>
      </c>
      <c r="G29" s="1">
        <v>3.37</v>
      </c>
      <c r="H29" s="1">
        <v>22.1</v>
      </c>
      <c r="I29" s="1">
        <v>158</v>
      </c>
      <c r="J29" s="1">
        <v>119</v>
      </c>
      <c r="K29" s="1">
        <v>142</v>
      </c>
      <c r="L29" s="1" t="s">
        <v>152</v>
      </c>
      <c r="M29" s="1">
        <v>97.3</v>
      </c>
      <c r="N29" s="1">
        <v>1.4</v>
      </c>
      <c r="O29" s="1">
        <v>11</v>
      </c>
      <c r="P29" s="1">
        <v>11</v>
      </c>
      <c r="Q29" s="1" t="s">
        <v>102</v>
      </c>
      <c r="R29" s="1">
        <v>191.86</v>
      </c>
      <c r="S29" s="1">
        <v>-3.3</v>
      </c>
      <c r="T29" s="1">
        <v>-0.98</v>
      </c>
      <c r="U29" s="1" t="s">
        <v>102</v>
      </c>
      <c r="V29" s="1">
        <v>4900</v>
      </c>
      <c r="W29" s="1">
        <v>32</v>
      </c>
      <c r="X29" s="1">
        <v>48</v>
      </c>
      <c r="Y29" s="1" t="s">
        <v>36</v>
      </c>
      <c r="Z29" s="1" t="s">
        <v>364</v>
      </c>
      <c r="AA29" s="1">
        <v>0.72</v>
      </c>
      <c r="AB29" s="1">
        <v>1</v>
      </c>
      <c r="AC29" s="1" t="s">
        <v>305</v>
      </c>
      <c r="AD29" s="1" t="s">
        <v>350</v>
      </c>
    </row>
    <row r="30" spans="1:30" x14ac:dyDescent="0.35">
      <c r="A30" s="1" t="s">
        <v>328</v>
      </c>
      <c r="B30" s="1" t="s">
        <v>161</v>
      </c>
      <c r="C30" s="1">
        <v>53.7</v>
      </c>
      <c r="D30" s="1">
        <v>1.7</v>
      </c>
      <c r="E30" s="1">
        <v>56.4</v>
      </c>
      <c r="F30" s="1">
        <v>49.1</v>
      </c>
      <c r="G30" s="1">
        <v>4.05</v>
      </c>
      <c r="H30" s="1">
        <v>10.5</v>
      </c>
      <c r="I30" s="1">
        <v>365</v>
      </c>
      <c r="J30" s="1">
        <v>97</v>
      </c>
      <c r="K30" s="1">
        <v>232</v>
      </c>
      <c r="L30" s="1" t="s">
        <v>145</v>
      </c>
      <c r="M30" s="1">
        <v>99.8</v>
      </c>
      <c r="N30" s="1">
        <v>0.61</v>
      </c>
      <c r="O30" s="1">
        <v>63</v>
      </c>
      <c r="P30" s="1">
        <v>17</v>
      </c>
      <c r="Q30" s="1" t="s">
        <v>102</v>
      </c>
      <c r="R30" s="1">
        <v>80.84</v>
      </c>
      <c r="S30" s="1">
        <v>-4.3</v>
      </c>
      <c r="T30" s="1">
        <v>-0.62</v>
      </c>
      <c r="U30" s="1" t="s">
        <v>102</v>
      </c>
      <c r="V30" s="1">
        <v>1221</v>
      </c>
      <c r="W30" s="1">
        <v>26</v>
      </c>
      <c r="X30" s="1">
        <v>42</v>
      </c>
      <c r="Y30" s="1" t="s">
        <v>31</v>
      </c>
      <c r="Z30" s="1" t="s">
        <v>365</v>
      </c>
      <c r="AA30" s="1">
        <v>0.71</v>
      </c>
      <c r="AB30" s="1">
        <v>0</v>
      </c>
      <c r="AC30" s="1" t="s">
        <v>305</v>
      </c>
      <c r="AD30" s="1" t="s">
        <v>350</v>
      </c>
    </row>
    <row r="31" spans="1:30" x14ac:dyDescent="0.35">
      <c r="A31" s="1" t="s">
        <v>329</v>
      </c>
      <c r="B31" s="1" t="s">
        <v>158</v>
      </c>
      <c r="C31" s="1">
        <v>41</v>
      </c>
      <c r="D31" s="1">
        <v>1.4</v>
      </c>
      <c r="E31" s="1">
        <v>44</v>
      </c>
      <c r="F31" s="1">
        <v>39.6</v>
      </c>
      <c r="G31" s="1">
        <v>3.33</v>
      </c>
      <c r="H31" s="1">
        <v>24.1</v>
      </c>
      <c r="I31" s="1">
        <v>381</v>
      </c>
      <c r="J31" s="1">
        <v>74</v>
      </c>
      <c r="K31" s="1">
        <v>163</v>
      </c>
      <c r="L31" s="1" t="s">
        <v>148</v>
      </c>
      <c r="M31" s="1">
        <v>96.3</v>
      </c>
      <c r="N31" s="1">
        <v>0.56999999999999995</v>
      </c>
      <c r="O31" s="1">
        <v>21</v>
      </c>
      <c r="P31" s="1">
        <v>14</v>
      </c>
      <c r="Q31" s="1" t="s">
        <v>102</v>
      </c>
      <c r="R31" s="1">
        <v>99</v>
      </c>
      <c r="S31" s="1">
        <v>0.2</v>
      </c>
      <c r="T31" s="1">
        <v>0.24</v>
      </c>
      <c r="U31" s="1" t="s">
        <v>102</v>
      </c>
      <c r="V31" s="1">
        <v>717</v>
      </c>
      <c r="W31" s="1">
        <v>44</v>
      </c>
      <c r="X31" s="1">
        <v>78</v>
      </c>
      <c r="Y31" s="1" t="s">
        <v>31</v>
      </c>
      <c r="Z31" s="1" t="s">
        <v>366</v>
      </c>
      <c r="AA31" s="1">
        <v>0.85</v>
      </c>
      <c r="AB31" s="1">
        <v>3</v>
      </c>
      <c r="AC31" s="1" t="s">
        <v>104</v>
      </c>
      <c r="AD31" s="1" t="s">
        <v>368</v>
      </c>
    </row>
    <row r="32" spans="1:30" x14ac:dyDescent="0.35">
      <c r="A32" s="1" t="s">
        <v>330</v>
      </c>
      <c r="B32" s="1" t="s">
        <v>100</v>
      </c>
      <c r="C32" s="1">
        <v>44.7</v>
      </c>
      <c r="D32" s="1">
        <v>1.2</v>
      </c>
      <c r="E32" s="1">
        <v>45.8</v>
      </c>
      <c r="F32" s="1">
        <v>42.6</v>
      </c>
      <c r="G32" s="1">
        <v>3.27</v>
      </c>
      <c r="H32" s="1">
        <v>17.5</v>
      </c>
      <c r="I32" s="1">
        <v>249</v>
      </c>
      <c r="J32" s="1">
        <v>95</v>
      </c>
      <c r="K32" s="1">
        <v>98</v>
      </c>
      <c r="L32" s="1" t="s">
        <v>147</v>
      </c>
      <c r="M32" s="1">
        <v>95.3</v>
      </c>
      <c r="N32" s="1">
        <v>0.87</v>
      </c>
      <c r="O32" s="1">
        <v>50</v>
      </c>
      <c r="P32" s="1">
        <v>12</v>
      </c>
      <c r="Q32" s="1" t="s">
        <v>102</v>
      </c>
      <c r="R32" s="1">
        <v>159.83000000000001</v>
      </c>
      <c r="S32" s="1">
        <v>-1.3</v>
      </c>
      <c r="T32" s="1">
        <v>-0.83</v>
      </c>
      <c r="U32" s="1" t="s">
        <v>102</v>
      </c>
      <c r="V32" s="1">
        <v>2112</v>
      </c>
      <c r="W32" s="1">
        <v>35</v>
      </c>
      <c r="X32" s="1">
        <v>46</v>
      </c>
      <c r="Y32" s="1" t="s">
        <v>168</v>
      </c>
      <c r="Z32" s="1" t="s">
        <v>171</v>
      </c>
      <c r="AA32" s="1">
        <v>0.87</v>
      </c>
      <c r="AB32" s="1">
        <v>0</v>
      </c>
      <c r="AC32" s="1" t="s">
        <v>305</v>
      </c>
      <c r="AD32" s="1" t="s">
        <v>350</v>
      </c>
    </row>
    <row r="33" spans="1:30" x14ac:dyDescent="0.35">
      <c r="A33" s="1" t="s">
        <v>331</v>
      </c>
      <c r="B33" s="1" t="s">
        <v>156</v>
      </c>
      <c r="C33" s="1">
        <v>46.9</v>
      </c>
      <c r="D33" s="1">
        <v>1.8</v>
      </c>
      <c r="E33" s="1">
        <v>48.5</v>
      </c>
      <c r="F33" s="1">
        <v>42.5</v>
      </c>
      <c r="G33" s="1">
        <v>3.84</v>
      </c>
      <c r="H33" s="1">
        <v>23.1</v>
      </c>
      <c r="I33" s="1">
        <v>190</v>
      </c>
      <c r="J33" s="1">
        <v>71</v>
      </c>
      <c r="K33" s="1">
        <v>96</v>
      </c>
      <c r="L33" s="1" t="s">
        <v>147</v>
      </c>
      <c r="M33" s="1">
        <v>97.9</v>
      </c>
      <c r="N33" s="1">
        <v>0.57999999999999996</v>
      </c>
      <c r="O33" s="1">
        <v>82</v>
      </c>
      <c r="P33" s="1">
        <v>25</v>
      </c>
      <c r="Q33" s="1" t="s">
        <v>102</v>
      </c>
      <c r="R33" s="1">
        <v>76.8</v>
      </c>
      <c r="S33" s="1">
        <v>0.4</v>
      </c>
      <c r="T33" s="1">
        <v>0.56999999999999995</v>
      </c>
      <c r="U33" s="1" t="s">
        <v>102</v>
      </c>
      <c r="V33" s="1">
        <v>2033</v>
      </c>
      <c r="W33" s="1">
        <v>21</v>
      </c>
      <c r="X33" s="1">
        <v>27</v>
      </c>
      <c r="Y33" s="1" t="s">
        <v>167</v>
      </c>
      <c r="Z33" s="1" t="s">
        <v>351</v>
      </c>
      <c r="AA33" s="1">
        <v>0.98</v>
      </c>
      <c r="AB33" s="1">
        <v>2</v>
      </c>
      <c r="AC33" s="1" t="s">
        <v>104</v>
      </c>
      <c r="AD33" s="1" t="s">
        <v>350</v>
      </c>
    </row>
    <row r="34" spans="1:30" x14ac:dyDescent="0.35">
      <c r="A34" s="1" t="s">
        <v>332</v>
      </c>
      <c r="B34" s="1" t="s">
        <v>161</v>
      </c>
      <c r="C34" s="1">
        <v>42.5</v>
      </c>
      <c r="D34" s="1">
        <v>1</v>
      </c>
      <c r="E34" s="1">
        <v>45</v>
      </c>
      <c r="F34" s="1">
        <v>37.700000000000003</v>
      </c>
      <c r="G34" s="1">
        <v>4.22</v>
      </c>
      <c r="H34" s="1">
        <v>11</v>
      </c>
      <c r="I34" s="1">
        <v>320</v>
      </c>
      <c r="J34" s="1">
        <v>92</v>
      </c>
      <c r="K34" s="1">
        <v>224</v>
      </c>
      <c r="L34" s="1" t="s">
        <v>147</v>
      </c>
      <c r="M34" s="1">
        <v>99.3</v>
      </c>
      <c r="N34" s="1">
        <v>0.11</v>
      </c>
      <c r="O34" s="1">
        <v>12</v>
      </c>
      <c r="P34" s="1">
        <v>8</v>
      </c>
      <c r="Q34" s="1" t="s">
        <v>102</v>
      </c>
      <c r="R34" s="1">
        <v>95.21</v>
      </c>
      <c r="S34" s="1">
        <v>2.8</v>
      </c>
      <c r="T34" s="1">
        <v>-0.14000000000000001</v>
      </c>
      <c r="U34" s="1" t="s">
        <v>102</v>
      </c>
      <c r="V34" s="1">
        <v>804</v>
      </c>
      <c r="W34" s="1">
        <v>3</v>
      </c>
      <c r="X34" s="1">
        <v>11</v>
      </c>
      <c r="Y34" s="1" t="s">
        <v>167</v>
      </c>
      <c r="Z34" s="1" t="s">
        <v>353</v>
      </c>
      <c r="AA34" s="1">
        <v>0.93</v>
      </c>
      <c r="AB34" s="1">
        <v>2</v>
      </c>
      <c r="AC34" s="1" t="s">
        <v>104</v>
      </c>
      <c r="AD34" s="1" t="s">
        <v>350</v>
      </c>
    </row>
    <row r="35" spans="1:30" x14ac:dyDescent="0.35">
      <c r="A35" s="1" t="s">
        <v>333</v>
      </c>
      <c r="B35" s="1" t="s">
        <v>100</v>
      </c>
      <c r="C35" s="1">
        <v>51.1</v>
      </c>
      <c r="D35" s="1">
        <v>1.2</v>
      </c>
      <c r="E35" s="1">
        <v>53.9</v>
      </c>
      <c r="F35" s="1">
        <v>49.9</v>
      </c>
      <c r="G35" s="1">
        <v>2.65</v>
      </c>
      <c r="H35" s="1">
        <v>10.3</v>
      </c>
      <c r="I35" s="1">
        <v>236</v>
      </c>
      <c r="J35" s="1">
        <v>82</v>
      </c>
      <c r="K35" s="1">
        <v>82</v>
      </c>
      <c r="L35" s="1" t="s">
        <v>150</v>
      </c>
      <c r="M35" s="1">
        <v>98.8</v>
      </c>
      <c r="N35" s="1">
        <v>0.69</v>
      </c>
      <c r="O35" s="1">
        <v>23</v>
      </c>
      <c r="P35" s="1">
        <v>16</v>
      </c>
      <c r="Q35" s="1" t="s">
        <v>102</v>
      </c>
      <c r="R35" s="1">
        <v>253.55</v>
      </c>
      <c r="S35" s="1">
        <v>-1.8</v>
      </c>
      <c r="T35" s="1">
        <v>-0.45</v>
      </c>
      <c r="U35" s="1" t="s">
        <v>102</v>
      </c>
      <c r="V35" s="1">
        <v>4746</v>
      </c>
      <c r="W35" s="1">
        <v>25</v>
      </c>
      <c r="X35" s="1">
        <v>76</v>
      </c>
      <c r="Y35" s="1" t="s">
        <v>31</v>
      </c>
      <c r="Z35" s="1" t="s">
        <v>354</v>
      </c>
      <c r="AA35" s="1">
        <v>0.92</v>
      </c>
      <c r="AB35" s="1">
        <v>0</v>
      </c>
      <c r="AC35" s="1" t="s">
        <v>104</v>
      </c>
      <c r="AD35" s="1" t="s">
        <v>352</v>
      </c>
    </row>
    <row r="36" spans="1:30" x14ac:dyDescent="0.35">
      <c r="A36" s="1" t="s">
        <v>334</v>
      </c>
      <c r="B36" s="1" t="s">
        <v>163</v>
      </c>
      <c r="C36" s="1">
        <v>45.7</v>
      </c>
      <c r="D36" s="1">
        <v>1.1000000000000001</v>
      </c>
      <c r="E36" s="1">
        <v>47</v>
      </c>
      <c r="F36" s="1">
        <v>41.9</v>
      </c>
      <c r="G36" s="1">
        <v>3.01</v>
      </c>
      <c r="H36" s="1">
        <v>10.8</v>
      </c>
      <c r="I36" s="1">
        <v>379</v>
      </c>
      <c r="J36" s="1">
        <v>119</v>
      </c>
      <c r="K36" s="1">
        <v>229</v>
      </c>
      <c r="L36" s="1" t="s">
        <v>143</v>
      </c>
      <c r="M36" s="1">
        <v>95.9</v>
      </c>
      <c r="N36" s="1">
        <v>0.61</v>
      </c>
      <c r="O36" s="1">
        <v>59</v>
      </c>
      <c r="P36" s="1">
        <v>12</v>
      </c>
      <c r="Q36" s="1" t="s">
        <v>102</v>
      </c>
      <c r="R36" s="1">
        <v>145.25</v>
      </c>
      <c r="S36" s="1">
        <v>2.1</v>
      </c>
      <c r="T36" s="1">
        <v>0.12</v>
      </c>
      <c r="U36" s="1" t="s">
        <v>102</v>
      </c>
      <c r="V36" s="1">
        <v>2484</v>
      </c>
      <c r="W36" s="1">
        <v>26</v>
      </c>
      <c r="X36" s="1">
        <v>49</v>
      </c>
      <c r="Y36" s="1" t="s">
        <v>169</v>
      </c>
      <c r="Z36" s="1" t="s">
        <v>355</v>
      </c>
      <c r="AA36" s="1">
        <v>0.96</v>
      </c>
      <c r="AB36" s="1">
        <v>2</v>
      </c>
      <c r="AC36" s="1" t="s">
        <v>104</v>
      </c>
      <c r="AD36" s="1" t="s">
        <v>350</v>
      </c>
    </row>
    <row r="37" spans="1:30" x14ac:dyDescent="0.35">
      <c r="A37" s="1" t="s">
        <v>335</v>
      </c>
      <c r="B37" s="1" t="s">
        <v>100</v>
      </c>
      <c r="C37" s="1">
        <v>46</v>
      </c>
      <c r="D37" s="1">
        <v>1</v>
      </c>
      <c r="E37" s="1">
        <v>47</v>
      </c>
      <c r="F37" s="1">
        <v>43.4</v>
      </c>
      <c r="G37" s="1">
        <v>4.04</v>
      </c>
      <c r="H37" s="1">
        <v>19.2</v>
      </c>
      <c r="I37" s="1">
        <v>174</v>
      </c>
      <c r="J37" s="1">
        <v>108</v>
      </c>
      <c r="K37" s="1">
        <v>231</v>
      </c>
      <c r="L37" s="1" t="s">
        <v>101</v>
      </c>
      <c r="M37" s="1">
        <v>97.5</v>
      </c>
      <c r="N37" s="1">
        <v>0.16</v>
      </c>
      <c r="O37" s="1">
        <v>35</v>
      </c>
      <c r="P37" s="1">
        <v>21</v>
      </c>
      <c r="Q37" s="1" t="s">
        <v>301</v>
      </c>
      <c r="R37" s="1">
        <v>242.9</v>
      </c>
      <c r="S37" s="1">
        <v>4.8</v>
      </c>
      <c r="T37" s="1">
        <v>-0.66</v>
      </c>
      <c r="U37" s="1" t="s">
        <v>102</v>
      </c>
      <c r="V37" s="1">
        <v>874</v>
      </c>
      <c r="W37" s="1">
        <v>11</v>
      </c>
      <c r="X37" s="1">
        <v>79</v>
      </c>
      <c r="Y37" s="1" t="s">
        <v>169</v>
      </c>
      <c r="Z37" s="1" t="s">
        <v>356</v>
      </c>
      <c r="AA37" s="1">
        <v>0.85</v>
      </c>
      <c r="AB37" s="1">
        <v>6</v>
      </c>
      <c r="AC37" s="1" t="s">
        <v>305</v>
      </c>
      <c r="AD37" s="1" t="s">
        <v>350</v>
      </c>
    </row>
    <row r="38" spans="1:30" x14ac:dyDescent="0.35">
      <c r="A38" s="1" t="s">
        <v>336</v>
      </c>
      <c r="B38" s="1" t="s">
        <v>158</v>
      </c>
      <c r="C38" s="1">
        <v>53.2</v>
      </c>
      <c r="D38" s="1">
        <v>2.2000000000000002</v>
      </c>
      <c r="E38" s="1">
        <v>56.9</v>
      </c>
      <c r="F38" s="1">
        <v>51</v>
      </c>
      <c r="G38" s="1">
        <v>3.16</v>
      </c>
      <c r="H38" s="1">
        <v>24.2</v>
      </c>
      <c r="I38" s="1">
        <v>231</v>
      </c>
      <c r="J38" s="1">
        <v>118</v>
      </c>
      <c r="K38" s="1">
        <v>115</v>
      </c>
      <c r="L38" s="1" t="s">
        <v>150</v>
      </c>
      <c r="M38" s="1">
        <v>98.3</v>
      </c>
      <c r="N38" s="1">
        <v>0.68</v>
      </c>
      <c r="O38" s="1">
        <v>91</v>
      </c>
      <c r="P38" s="1">
        <v>20</v>
      </c>
      <c r="Q38" s="1" t="s">
        <v>102</v>
      </c>
      <c r="R38" s="1">
        <v>174.29</v>
      </c>
      <c r="S38" s="1">
        <v>4.4000000000000004</v>
      </c>
      <c r="T38" s="1">
        <v>0.91</v>
      </c>
      <c r="U38" s="1" t="s">
        <v>102</v>
      </c>
      <c r="V38" s="1">
        <v>3065</v>
      </c>
      <c r="W38" s="1">
        <v>29</v>
      </c>
      <c r="X38" s="1">
        <v>18</v>
      </c>
      <c r="Y38" s="1" t="s">
        <v>167</v>
      </c>
      <c r="Z38" s="1" t="s">
        <v>357</v>
      </c>
      <c r="AA38" s="1">
        <v>0.9</v>
      </c>
      <c r="AB38" s="1">
        <v>2</v>
      </c>
      <c r="AC38" s="1" t="s">
        <v>104</v>
      </c>
      <c r="AD38" s="1" t="s">
        <v>350</v>
      </c>
    </row>
    <row r="39" spans="1:30" x14ac:dyDescent="0.35">
      <c r="A39" s="1" t="s">
        <v>337</v>
      </c>
      <c r="B39" s="1" t="s">
        <v>162</v>
      </c>
      <c r="C39" s="1">
        <v>44.7</v>
      </c>
      <c r="D39" s="1">
        <v>1.7</v>
      </c>
      <c r="E39" s="1">
        <v>48.6</v>
      </c>
      <c r="F39" s="1">
        <v>40.1</v>
      </c>
      <c r="G39" s="1">
        <v>1.61</v>
      </c>
      <c r="H39" s="1">
        <v>13.5</v>
      </c>
      <c r="I39" s="1">
        <v>431</v>
      </c>
      <c r="J39" s="1">
        <v>67</v>
      </c>
      <c r="K39" s="1">
        <v>81</v>
      </c>
      <c r="L39" s="1" t="s">
        <v>145</v>
      </c>
      <c r="M39" s="1">
        <v>95.9</v>
      </c>
      <c r="N39" s="1">
        <v>1.23</v>
      </c>
      <c r="O39" s="1">
        <v>70</v>
      </c>
      <c r="P39" s="1">
        <v>7</v>
      </c>
      <c r="Q39" s="1" t="s">
        <v>102</v>
      </c>
      <c r="R39" s="1">
        <v>292.92</v>
      </c>
      <c r="S39" s="1">
        <v>2</v>
      </c>
      <c r="T39" s="1">
        <v>0.75</v>
      </c>
      <c r="U39" s="1" t="s">
        <v>102</v>
      </c>
      <c r="V39" s="1">
        <v>4815</v>
      </c>
      <c r="W39" s="1">
        <v>5</v>
      </c>
      <c r="X39" s="1">
        <v>3</v>
      </c>
      <c r="Y39" s="1" t="s">
        <v>36</v>
      </c>
      <c r="Z39" s="1" t="s">
        <v>358</v>
      </c>
      <c r="AA39" s="1">
        <v>0.81</v>
      </c>
      <c r="AB39" s="1">
        <v>4</v>
      </c>
      <c r="AC39" s="1" t="s">
        <v>104</v>
      </c>
      <c r="AD39" s="1" t="s">
        <v>350</v>
      </c>
    </row>
    <row r="40" spans="1:30" x14ac:dyDescent="0.35">
      <c r="A40" s="1" t="s">
        <v>338</v>
      </c>
      <c r="B40" s="1" t="s">
        <v>162</v>
      </c>
      <c r="C40" s="1">
        <v>48.2</v>
      </c>
      <c r="D40" s="1">
        <v>0.7</v>
      </c>
      <c r="E40" s="1">
        <v>49.3</v>
      </c>
      <c r="F40" s="1">
        <v>45.2</v>
      </c>
      <c r="G40" s="1">
        <v>3.48</v>
      </c>
      <c r="H40" s="1">
        <v>12.8</v>
      </c>
      <c r="I40" s="1">
        <v>260</v>
      </c>
      <c r="J40" s="1">
        <v>104</v>
      </c>
      <c r="K40" s="1">
        <v>121</v>
      </c>
      <c r="L40" s="1" t="s">
        <v>151</v>
      </c>
      <c r="M40" s="1">
        <v>95.5</v>
      </c>
      <c r="N40" s="1">
        <v>0.19</v>
      </c>
      <c r="O40" s="1">
        <v>69</v>
      </c>
      <c r="P40" s="1">
        <v>23</v>
      </c>
      <c r="Q40" s="1" t="s">
        <v>102</v>
      </c>
      <c r="R40" s="1">
        <v>207.4</v>
      </c>
      <c r="S40" s="1">
        <v>2.7</v>
      </c>
      <c r="T40" s="1">
        <v>-0.47</v>
      </c>
      <c r="U40" s="1" t="s">
        <v>102</v>
      </c>
      <c r="V40" s="1">
        <v>3671</v>
      </c>
      <c r="W40" s="1">
        <v>28</v>
      </c>
      <c r="X40" s="1">
        <v>82</v>
      </c>
      <c r="Y40" s="1" t="s">
        <v>168</v>
      </c>
      <c r="Z40" s="1" t="s">
        <v>359</v>
      </c>
      <c r="AA40" s="1">
        <v>0.78</v>
      </c>
      <c r="AB40" s="1">
        <v>1</v>
      </c>
      <c r="AC40" s="1" t="s">
        <v>104</v>
      </c>
      <c r="AD40" s="1" t="s">
        <v>350</v>
      </c>
    </row>
    <row r="41" spans="1:30" x14ac:dyDescent="0.35">
      <c r="A41" s="1" t="s">
        <v>339</v>
      </c>
      <c r="B41" s="1" t="s">
        <v>160</v>
      </c>
      <c r="C41" s="1">
        <v>42.8</v>
      </c>
      <c r="D41" s="1">
        <v>1.2</v>
      </c>
      <c r="E41" s="1">
        <v>46.2</v>
      </c>
      <c r="F41" s="1">
        <v>40.4</v>
      </c>
      <c r="G41" s="1">
        <v>1.75</v>
      </c>
      <c r="H41" s="1">
        <v>21.4</v>
      </c>
      <c r="I41" s="1">
        <v>412</v>
      </c>
      <c r="J41" s="1">
        <v>77</v>
      </c>
      <c r="K41" s="1">
        <v>95</v>
      </c>
      <c r="L41" s="1" t="s">
        <v>152</v>
      </c>
      <c r="M41" s="1">
        <v>98.5</v>
      </c>
      <c r="N41" s="1">
        <v>0.81</v>
      </c>
      <c r="O41" s="1">
        <v>38</v>
      </c>
      <c r="P41" s="1">
        <v>18</v>
      </c>
      <c r="Q41" s="1" t="s">
        <v>102</v>
      </c>
      <c r="R41" s="1">
        <v>127.06</v>
      </c>
      <c r="S41" s="1">
        <v>-4.2</v>
      </c>
      <c r="T41" s="1">
        <v>-0.92</v>
      </c>
      <c r="U41" s="1" t="s">
        <v>102</v>
      </c>
      <c r="V41" s="1">
        <v>551</v>
      </c>
      <c r="W41" s="1">
        <v>41</v>
      </c>
      <c r="X41" s="1">
        <v>32</v>
      </c>
      <c r="Y41" s="1" t="s">
        <v>34</v>
      </c>
      <c r="Z41" s="1" t="s">
        <v>360</v>
      </c>
      <c r="AA41" s="1">
        <v>0.88</v>
      </c>
      <c r="AB41" s="1">
        <v>3</v>
      </c>
      <c r="AC41" s="1" t="s">
        <v>104</v>
      </c>
      <c r="AD41" s="1" t="s">
        <v>350</v>
      </c>
    </row>
    <row r="42" spans="1:30" x14ac:dyDescent="0.35">
      <c r="A42" s="1" t="s">
        <v>340</v>
      </c>
      <c r="B42" s="1" t="s">
        <v>157</v>
      </c>
      <c r="C42" s="1">
        <v>51.4</v>
      </c>
      <c r="D42" s="1">
        <v>2.2999999999999998</v>
      </c>
      <c r="E42" s="1">
        <v>53.1</v>
      </c>
      <c r="F42" s="1">
        <v>47.1</v>
      </c>
      <c r="G42" s="1">
        <v>4.25</v>
      </c>
      <c r="H42" s="1">
        <v>10.9</v>
      </c>
      <c r="I42" s="1">
        <v>246</v>
      </c>
      <c r="J42" s="1">
        <v>97</v>
      </c>
      <c r="K42" s="1">
        <v>215</v>
      </c>
      <c r="L42" s="1" t="s">
        <v>147</v>
      </c>
      <c r="M42" s="1">
        <v>96.9</v>
      </c>
      <c r="N42" s="1">
        <v>0.35</v>
      </c>
      <c r="O42" s="1">
        <v>97</v>
      </c>
      <c r="P42" s="1">
        <v>11</v>
      </c>
      <c r="Q42" s="1" t="s">
        <v>102</v>
      </c>
      <c r="R42" s="1">
        <v>281.99</v>
      </c>
      <c r="S42" s="1">
        <v>-1.9</v>
      </c>
      <c r="T42" s="1">
        <v>0.71</v>
      </c>
      <c r="U42" s="1" t="s">
        <v>301</v>
      </c>
      <c r="V42" s="1">
        <v>4291</v>
      </c>
      <c r="W42" s="1">
        <v>24</v>
      </c>
      <c r="X42" s="1">
        <v>41</v>
      </c>
      <c r="Y42" s="1" t="s">
        <v>168</v>
      </c>
      <c r="Z42" s="1" t="s">
        <v>361</v>
      </c>
      <c r="AA42" s="1">
        <v>0.81</v>
      </c>
      <c r="AB42" s="1">
        <v>2</v>
      </c>
      <c r="AC42" s="1" t="s">
        <v>305</v>
      </c>
      <c r="AD42" s="1" t="s">
        <v>352</v>
      </c>
    </row>
    <row r="43" spans="1:30" x14ac:dyDescent="0.35">
      <c r="A43" s="1" t="s">
        <v>341</v>
      </c>
      <c r="B43" s="1" t="s">
        <v>162</v>
      </c>
      <c r="C43" s="1">
        <v>50.6</v>
      </c>
      <c r="D43" s="1">
        <v>1.8</v>
      </c>
      <c r="E43" s="1">
        <v>55</v>
      </c>
      <c r="F43" s="1">
        <v>47.5</v>
      </c>
      <c r="G43" s="1">
        <v>4.17</v>
      </c>
      <c r="H43" s="1">
        <v>11.2</v>
      </c>
      <c r="I43" s="1">
        <v>231</v>
      </c>
      <c r="J43" s="1">
        <v>82</v>
      </c>
      <c r="K43" s="1">
        <v>101</v>
      </c>
      <c r="L43" s="1" t="s">
        <v>149</v>
      </c>
      <c r="M43" s="1">
        <v>98.1</v>
      </c>
      <c r="N43" s="1">
        <v>0.49</v>
      </c>
      <c r="O43" s="1">
        <v>79</v>
      </c>
      <c r="P43" s="1">
        <v>29</v>
      </c>
      <c r="Q43" s="1" t="s">
        <v>102</v>
      </c>
      <c r="R43" s="1">
        <v>254.02</v>
      </c>
      <c r="S43" s="1">
        <v>-2.7</v>
      </c>
      <c r="T43" s="1">
        <v>0.35</v>
      </c>
      <c r="U43" s="1" t="s">
        <v>102</v>
      </c>
      <c r="V43" s="1">
        <v>3745</v>
      </c>
      <c r="W43" s="1">
        <v>18</v>
      </c>
      <c r="X43" s="1">
        <v>34</v>
      </c>
      <c r="Y43" s="1" t="s">
        <v>167</v>
      </c>
      <c r="Z43" s="1" t="s">
        <v>362</v>
      </c>
      <c r="AA43" s="1">
        <v>0.73</v>
      </c>
      <c r="AB43" s="1">
        <v>4</v>
      </c>
      <c r="AC43" s="1" t="s">
        <v>305</v>
      </c>
      <c r="AD43" s="1" t="s">
        <v>367</v>
      </c>
    </row>
    <row r="44" spans="1:30" x14ac:dyDescent="0.35">
      <c r="A44" s="1" t="s">
        <v>342</v>
      </c>
      <c r="B44" s="1" t="s">
        <v>157</v>
      </c>
      <c r="C44" s="1">
        <v>52.3</v>
      </c>
      <c r="D44" s="1">
        <v>0.5</v>
      </c>
      <c r="E44" s="1">
        <v>57.1</v>
      </c>
      <c r="F44" s="1">
        <v>49.9</v>
      </c>
      <c r="G44" s="1">
        <v>2.69</v>
      </c>
      <c r="H44" s="1">
        <v>22.1</v>
      </c>
      <c r="I44" s="1">
        <v>272</v>
      </c>
      <c r="J44" s="1">
        <v>108</v>
      </c>
      <c r="K44" s="1">
        <v>229</v>
      </c>
      <c r="L44" s="1" t="s">
        <v>148</v>
      </c>
      <c r="M44" s="1">
        <v>98.7</v>
      </c>
      <c r="N44" s="1">
        <v>0.27</v>
      </c>
      <c r="O44" s="1">
        <v>35</v>
      </c>
      <c r="P44" s="1">
        <v>27</v>
      </c>
      <c r="Q44" s="1" t="s">
        <v>102</v>
      </c>
      <c r="R44" s="1">
        <v>237.58</v>
      </c>
      <c r="S44" s="1">
        <v>-0.9</v>
      </c>
      <c r="T44" s="1">
        <v>0.49</v>
      </c>
      <c r="U44" s="1" t="s">
        <v>309</v>
      </c>
      <c r="V44" s="1">
        <v>502</v>
      </c>
      <c r="W44" s="1">
        <v>0</v>
      </c>
      <c r="X44" s="1">
        <v>26</v>
      </c>
      <c r="Y44" s="1" t="s">
        <v>34</v>
      </c>
      <c r="Z44" s="1" t="s">
        <v>364</v>
      </c>
      <c r="AA44" s="1">
        <v>0.84</v>
      </c>
      <c r="AB44" s="1">
        <v>6</v>
      </c>
      <c r="AC44" s="1" t="s">
        <v>104</v>
      </c>
      <c r="AD44" s="1" t="s">
        <v>350</v>
      </c>
    </row>
    <row r="45" spans="1:30" x14ac:dyDescent="0.35">
      <c r="A45" s="1" t="s">
        <v>343</v>
      </c>
      <c r="B45" s="1" t="s">
        <v>161</v>
      </c>
      <c r="C45" s="1">
        <v>52.1</v>
      </c>
      <c r="D45" s="1">
        <v>0.8</v>
      </c>
      <c r="E45" s="1">
        <v>56.6</v>
      </c>
      <c r="F45" s="1">
        <v>50</v>
      </c>
      <c r="G45" s="1">
        <v>2.66</v>
      </c>
      <c r="H45" s="1">
        <v>13.9</v>
      </c>
      <c r="I45" s="1">
        <v>307</v>
      </c>
      <c r="J45" s="1">
        <v>105</v>
      </c>
      <c r="K45" s="1">
        <v>232</v>
      </c>
      <c r="L45" s="1" t="s">
        <v>146</v>
      </c>
      <c r="M45" s="1">
        <v>99.2</v>
      </c>
      <c r="N45" s="1">
        <v>0.28999999999999998</v>
      </c>
      <c r="O45" s="1">
        <v>19</v>
      </c>
      <c r="P45" s="1">
        <v>17</v>
      </c>
      <c r="Q45" s="1" t="s">
        <v>102</v>
      </c>
      <c r="R45" s="1">
        <v>233.26</v>
      </c>
      <c r="S45" s="1">
        <v>3.4</v>
      </c>
      <c r="T45" s="1">
        <v>-0.89</v>
      </c>
      <c r="U45" s="1" t="s">
        <v>309</v>
      </c>
      <c r="V45" s="1">
        <v>4971</v>
      </c>
      <c r="W45" s="1">
        <v>38</v>
      </c>
      <c r="X45" s="1">
        <v>1</v>
      </c>
      <c r="Y45" s="1" t="s">
        <v>34</v>
      </c>
      <c r="Z45" s="1" t="s">
        <v>365</v>
      </c>
      <c r="AA45" s="1">
        <v>0.8</v>
      </c>
      <c r="AB45" s="1">
        <v>1</v>
      </c>
      <c r="AC45" s="1" t="s">
        <v>104</v>
      </c>
      <c r="AD45" s="1" t="s">
        <v>350</v>
      </c>
    </row>
    <row r="46" spans="1:30" x14ac:dyDescent="0.35">
      <c r="A46" s="1" t="s">
        <v>344</v>
      </c>
      <c r="B46" s="1" t="s">
        <v>161</v>
      </c>
      <c r="C46" s="1">
        <v>53.1</v>
      </c>
      <c r="D46" s="1">
        <v>1.3</v>
      </c>
      <c r="E46" s="1">
        <v>57.5</v>
      </c>
      <c r="F46" s="1">
        <v>51.5</v>
      </c>
      <c r="G46" s="1">
        <v>1.99</v>
      </c>
      <c r="H46" s="1">
        <v>19.8</v>
      </c>
      <c r="I46" s="1">
        <v>428</v>
      </c>
      <c r="J46" s="1">
        <v>92</v>
      </c>
      <c r="K46" s="1">
        <v>122</v>
      </c>
      <c r="L46" s="1" t="s">
        <v>101</v>
      </c>
      <c r="M46" s="1">
        <v>95.9</v>
      </c>
      <c r="N46" s="1">
        <v>0.52</v>
      </c>
      <c r="O46" s="1">
        <v>77</v>
      </c>
      <c r="P46" s="1">
        <v>28</v>
      </c>
      <c r="Q46" s="1" t="s">
        <v>102</v>
      </c>
      <c r="R46" s="1">
        <v>142.34</v>
      </c>
      <c r="S46" s="1">
        <v>-3.6</v>
      </c>
      <c r="T46" s="1">
        <v>-0.49</v>
      </c>
      <c r="U46" s="1" t="s">
        <v>309</v>
      </c>
      <c r="V46" s="1">
        <v>4121</v>
      </c>
      <c r="W46" s="1">
        <v>38</v>
      </c>
      <c r="X46" s="1">
        <v>8</v>
      </c>
      <c r="Y46" s="1" t="s">
        <v>168</v>
      </c>
      <c r="Z46" s="1" t="s">
        <v>366</v>
      </c>
      <c r="AA46" s="1">
        <v>0.87</v>
      </c>
      <c r="AB46" s="1">
        <v>3</v>
      </c>
      <c r="AC46" s="1" t="s">
        <v>305</v>
      </c>
      <c r="AD46" s="1" t="s">
        <v>350</v>
      </c>
    </row>
    <row r="47" spans="1:30" x14ac:dyDescent="0.35">
      <c r="A47" s="1" t="s">
        <v>345</v>
      </c>
      <c r="B47" s="1" t="s">
        <v>158</v>
      </c>
      <c r="C47" s="1">
        <v>52.6</v>
      </c>
      <c r="D47" s="1">
        <v>1.5</v>
      </c>
      <c r="E47" s="1">
        <v>54.1</v>
      </c>
      <c r="F47" s="1">
        <v>50.7</v>
      </c>
      <c r="G47" s="1">
        <v>4.47</v>
      </c>
      <c r="H47" s="1">
        <v>19.399999999999999</v>
      </c>
      <c r="I47" s="1">
        <v>262</v>
      </c>
      <c r="J47" s="1">
        <v>110</v>
      </c>
      <c r="K47" s="1">
        <v>104</v>
      </c>
      <c r="L47" s="1" t="s">
        <v>149</v>
      </c>
      <c r="M47" s="1">
        <v>99</v>
      </c>
      <c r="N47" s="1">
        <v>0.46</v>
      </c>
      <c r="O47" s="1">
        <v>29</v>
      </c>
      <c r="P47" s="1">
        <v>8</v>
      </c>
      <c r="Q47" s="1" t="s">
        <v>102</v>
      </c>
      <c r="R47" s="1">
        <v>130.81</v>
      </c>
      <c r="S47" s="1">
        <v>-2.4</v>
      </c>
      <c r="T47" s="1">
        <v>0.39</v>
      </c>
      <c r="U47" s="1" t="s">
        <v>102</v>
      </c>
      <c r="V47" s="1">
        <v>4183</v>
      </c>
      <c r="W47" s="1">
        <v>15</v>
      </c>
      <c r="X47" s="1">
        <v>63</v>
      </c>
      <c r="Y47" s="1" t="s">
        <v>168</v>
      </c>
      <c r="Z47" s="1" t="s">
        <v>171</v>
      </c>
      <c r="AA47" s="1">
        <v>0.89</v>
      </c>
      <c r="AB47" s="1">
        <v>2</v>
      </c>
      <c r="AC47" s="1" t="s">
        <v>104</v>
      </c>
      <c r="AD47" s="1" t="s">
        <v>350</v>
      </c>
    </row>
    <row r="48" spans="1:30" x14ac:dyDescent="0.35">
      <c r="A48" s="1" t="s">
        <v>346</v>
      </c>
      <c r="B48" s="1" t="s">
        <v>157</v>
      </c>
      <c r="C48" s="1">
        <v>51.5</v>
      </c>
      <c r="D48" s="1">
        <v>2.1</v>
      </c>
      <c r="E48" s="1">
        <v>54.4</v>
      </c>
      <c r="F48" s="1">
        <v>50.2</v>
      </c>
      <c r="G48" s="1">
        <v>2.86</v>
      </c>
      <c r="H48" s="1">
        <v>23.1</v>
      </c>
      <c r="I48" s="1">
        <v>292</v>
      </c>
      <c r="J48" s="1">
        <v>106</v>
      </c>
      <c r="K48" s="1">
        <v>152</v>
      </c>
      <c r="L48" s="1" t="s">
        <v>143</v>
      </c>
      <c r="M48" s="1">
        <v>97.9</v>
      </c>
      <c r="N48" s="1">
        <v>0.16</v>
      </c>
      <c r="O48" s="1">
        <v>42</v>
      </c>
      <c r="P48" s="1">
        <v>4</v>
      </c>
      <c r="Q48" s="1" t="s">
        <v>102</v>
      </c>
      <c r="R48" s="1">
        <v>149.1</v>
      </c>
      <c r="S48" s="1">
        <v>2.2999999999999998</v>
      </c>
      <c r="T48" s="1">
        <v>0.94</v>
      </c>
      <c r="U48" s="1" t="s">
        <v>102</v>
      </c>
      <c r="V48" s="1">
        <v>3657</v>
      </c>
      <c r="W48" s="1">
        <v>8</v>
      </c>
      <c r="X48" s="1">
        <v>39</v>
      </c>
      <c r="Y48" s="1" t="s">
        <v>31</v>
      </c>
      <c r="Z48" s="1" t="s">
        <v>351</v>
      </c>
      <c r="AA48" s="1">
        <v>0.86</v>
      </c>
      <c r="AB48" s="1">
        <v>1</v>
      </c>
      <c r="AC48" s="1" t="s">
        <v>305</v>
      </c>
      <c r="AD48" s="1" t="s">
        <v>350</v>
      </c>
    </row>
    <row r="49" spans="1:30" x14ac:dyDescent="0.35">
      <c r="A49" s="1" t="s">
        <v>347</v>
      </c>
      <c r="B49" s="1" t="s">
        <v>162</v>
      </c>
      <c r="C49" s="1">
        <v>59.2</v>
      </c>
      <c r="D49" s="1">
        <v>1.3</v>
      </c>
      <c r="E49" s="1">
        <v>61.8</v>
      </c>
      <c r="F49" s="1">
        <v>57.6</v>
      </c>
      <c r="G49" s="1">
        <v>2.8</v>
      </c>
      <c r="H49" s="1">
        <v>12.8</v>
      </c>
      <c r="I49" s="1">
        <v>314</v>
      </c>
      <c r="J49" s="1">
        <v>78</v>
      </c>
      <c r="K49" s="1">
        <v>136</v>
      </c>
      <c r="L49" s="1" t="s">
        <v>145</v>
      </c>
      <c r="M49" s="1">
        <v>95.3</v>
      </c>
      <c r="N49" s="1">
        <v>1.02</v>
      </c>
      <c r="O49" s="1">
        <v>17</v>
      </c>
      <c r="P49" s="1">
        <v>29</v>
      </c>
      <c r="Q49" s="1" t="s">
        <v>102</v>
      </c>
      <c r="R49" s="1">
        <v>271.91000000000003</v>
      </c>
      <c r="S49" s="1">
        <v>0.9</v>
      </c>
      <c r="T49" s="1">
        <v>-0.72</v>
      </c>
      <c r="U49" s="1" t="s">
        <v>309</v>
      </c>
      <c r="V49" s="1">
        <v>3648</v>
      </c>
      <c r="W49" s="1">
        <v>21</v>
      </c>
      <c r="X49" s="1">
        <v>17</v>
      </c>
      <c r="Y49" s="1" t="s">
        <v>36</v>
      </c>
      <c r="Z49" s="1" t="s">
        <v>353</v>
      </c>
      <c r="AA49" s="1">
        <v>0.93</v>
      </c>
      <c r="AB49" s="1">
        <v>0</v>
      </c>
      <c r="AC49" s="1" t="s">
        <v>104</v>
      </c>
      <c r="AD49" s="1" t="s">
        <v>352</v>
      </c>
    </row>
    <row r="50" spans="1:30" x14ac:dyDescent="0.35">
      <c r="A50" s="1" t="s">
        <v>348</v>
      </c>
      <c r="B50" s="1" t="s">
        <v>159</v>
      </c>
      <c r="C50" s="1">
        <v>42.5</v>
      </c>
      <c r="D50" s="1">
        <v>1.7</v>
      </c>
      <c r="E50" s="1">
        <v>45.4</v>
      </c>
      <c r="F50" s="1">
        <v>38.799999999999997</v>
      </c>
      <c r="G50" s="1">
        <v>2.5499999999999998</v>
      </c>
      <c r="H50" s="1">
        <v>21</v>
      </c>
      <c r="I50" s="1">
        <v>373</v>
      </c>
      <c r="J50" s="1">
        <v>115</v>
      </c>
      <c r="K50" s="1">
        <v>189</v>
      </c>
      <c r="L50" s="1" t="s">
        <v>146</v>
      </c>
      <c r="M50" s="1">
        <v>97.6</v>
      </c>
      <c r="N50" s="1">
        <v>1.43</v>
      </c>
      <c r="O50" s="1">
        <v>82</v>
      </c>
      <c r="P50" s="1">
        <v>24</v>
      </c>
      <c r="Q50" s="1" t="s">
        <v>102</v>
      </c>
      <c r="R50" s="1">
        <v>100.53</v>
      </c>
      <c r="S50" s="1">
        <v>0.7</v>
      </c>
      <c r="T50" s="1">
        <v>-0.55000000000000004</v>
      </c>
      <c r="U50" s="1" t="s">
        <v>309</v>
      </c>
      <c r="V50" s="1">
        <v>1330</v>
      </c>
      <c r="W50" s="1">
        <v>20</v>
      </c>
      <c r="X50" s="1">
        <v>45</v>
      </c>
      <c r="Y50" s="1" t="s">
        <v>168</v>
      </c>
      <c r="Z50" s="1" t="s">
        <v>354</v>
      </c>
      <c r="AA50" s="1">
        <v>0.96</v>
      </c>
      <c r="AB50" s="1">
        <v>0</v>
      </c>
      <c r="AC50" s="1" t="s">
        <v>104</v>
      </c>
      <c r="AD50" s="1" t="s">
        <v>368</v>
      </c>
    </row>
    <row r="51" spans="1:30" x14ac:dyDescent="0.35">
      <c r="A51" s="1" t="s">
        <v>349</v>
      </c>
      <c r="B51" s="1" t="s">
        <v>162</v>
      </c>
      <c r="C51" s="1">
        <v>41.2</v>
      </c>
      <c r="D51" s="1">
        <v>2.2999999999999998</v>
      </c>
      <c r="E51" s="1">
        <v>45.9</v>
      </c>
      <c r="F51" s="1">
        <v>36.6</v>
      </c>
      <c r="G51" s="1">
        <v>3.43</v>
      </c>
      <c r="H51" s="1">
        <v>19.7</v>
      </c>
      <c r="I51" s="1">
        <v>269</v>
      </c>
      <c r="J51" s="1">
        <v>93</v>
      </c>
      <c r="K51" s="1">
        <v>196</v>
      </c>
      <c r="L51" s="1" t="s">
        <v>144</v>
      </c>
      <c r="M51" s="1">
        <v>96.5</v>
      </c>
      <c r="N51" s="1">
        <v>1.1100000000000001</v>
      </c>
      <c r="O51" s="1">
        <v>13</v>
      </c>
      <c r="P51" s="1">
        <v>6</v>
      </c>
      <c r="Q51" s="1" t="s">
        <v>102</v>
      </c>
      <c r="R51" s="1">
        <v>227.72</v>
      </c>
      <c r="S51" s="1">
        <v>-0.2</v>
      </c>
      <c r="T51" s="1">
        <v>0.88</v>
      </c>
      <c r="U51" s="1" t="s">
        <v>102</v>
      </c>
      <c r="V51" s="1">
        <v>2528</v>
      </c>
      <c r="W51" s="1">
        <v>27</v>
      </c>
      <c r="X51" s="1">
        <v>88</v>
      </c>
      <c r="Y51" s="1" t="s">
        <v>168</v>
      </c>
      <c r="Z51" s="1" t="s">
        <v>355</v>
      </c>
      <c r="AA51" s="1">
        <v>0.87</v>
      </c>
      <c r="AB51" s="1">
        <v>0</v>
      </c>
      <c r="AC51" s="1" t="s">
        <v>104</v>
      </c>
      <c r="AD51" s="1" t="s">
        <v>352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D25F5-25AC-46EB-957E-F6C00EEA7161}">
  <sheetPr codeName="Sheet7"/>
  <dimension ref="A1:AT51"/>
  <sheetViews>
    <sheetView zoomScale="52" workbookViewId="0">
      <pane xSplit="1" ySplit="1" topLeftCell="B2" activePane="bottomRight" state="frozen"/>
      <selection pane="topRight" activeCell="B1" sqref="B1"/>
      <selection pane="bottomLeft" activeCell="A2" sqref="A2"/>
      <selection pane="bottomRight" sqref="A1:XFD1"/>
    </sheetView>
  </sheetViews>
  <sheetFormatPr defaultRowHeight="14.5" x14ac:dyDescent="0.35"/>
  <cols>
    <col min="1" max="1" width="17.08984375" bestFit="1" customWidth="1"/>
    <col min="2" max="2" width="12.54296875" bestFit="1" customWidth="1"/>
    <col min="3" max="3" width="16" bestFit="1" customWidth="1"/>
    <col min="4" max="4" width="14.81640625" bestFit="1" customWidth="1"/>
    <col min="5" max="5" width="16.7265625" bestFit="1" customWidth="1"/>
    <col min="6" max="6" width="13.1796875" bestFit="1" customWidth="1"/>
    <col min="7" max="7" width="12.81640625" bestFit="1" customWidth="1"/>
    <col min="8" max="8" width="15.453125" bestFit="1" customWidth="1"/>
    <col min="9" max="9" width="24.7265625" bestFit="1" customWidth="1"/>
    <col min="10" max="10" width="18.453125" bestFit="1" customWidth="1"/>
    <col min="11" max="11" width="17.08984375" bestFit="1" customWidth="1"/>
    <col min="12" max="12" width="17.1796875" bestFit="1" customWidth="1"/>
    <col min="13" max="13" width="21.7265625" bestFit="1" customWidth="1"/>
    <col min="14" max="14" width="25.453125" bestFit="1" customWidth="1"/>
    <col min="15" max="15" width="17.90625" bestFit="1" customWidth="1"/>
    <col min="16" max="16" width="20.90625" bestFit="1" customWidth="1"/>
    <col min="17" max="17" width="15.81640625" bestFit="1" customWidth="1"/>
    <col min="18" max="18" width="25.6328125" bestFit="1" customWidth="1"/>
    <col min="19" max="19" width="27.7265625" bestFit="1" customWidth="1"/>
    <col min="20" max="20" width="12.36328125" bestFit="1" customWidth="1"/>
    <col min="21" max="21" width="16.1796875" bestFit="1" customWidth="1"/>
    <col min="22" max="23" width="22.81640625" bestFit="1" customWidth="1"/>
    <col min="24" max="24" width="19" bestFit="1" customWidth="1"/>
    <col min="25" max="25" width="17.36328125" bestFit="1" customWidth="1"/>
    <col min="26" max="26" width="19" bestFit="1" customWidth="1"/>
    <col min="27" max="27" width="23.7265625" bestFit="1" customWidth="1"/>
    <col min="28" max="28" width="20" bestFit="1" customWidth="1"/>
    <col min="29" max="29" width="15.81640625" bestFit="1" customWidth="1"/>
    <col min="30" max="30" width="16.7265625" bestFit="1" customWidth="1"/>
    <col min="31" max="31" width="19.81640625" bestFit="1" customWidth="1"/>
    <col min="32" max="32" width="27.54296875" bestFit="1" customWidth="1"/>
    <col min="33" max="33" width="28.26953125" bestFit="1" customWidth="1"/>
    <col min="34" max="34" width="20.36328125" bestFit="1" customWidth="1"/>
    <col min="35" max="35" width="13.7265625" bestFit="1" customWidth="1"/>
    <col min="36" max="36" width="20.54296875" bestFit="1" customWidth="1"/>
    <col min="37" max="37" width="30" bestFit="1" customWidth="1"/>
    <col min="38" max="38" width="19.36328125" bestFit="1" customWidth="1"/>
    <col min="39" max="39" width="23.36328125" bestFit="1" customWidth="1"/>
  </cols>
  <sheetData>
    <row r="1" spans="1:46" ht="24" customHeight="1" x14ac:dyDescent="0.35">
      <c r="A1" s="57" t="s">
        <v>15</v>
      </c>
      <c r="B1" s="57" t="s">
        <v>16</v>
      </c>
      <c r="C1" s="57" t="s">
        <v>14</v>
      </c>
      <c r="D1" s="57" t="s">
        <v>105</v>
      </c>
      <c r="E1" s="57" t="s">
        <v>106</v>
      </c>
      <c r="F1" s="57" t="s">
        <v>107</v>
      </c>
      <c r="G1" s="57" t="s">
        <v>108</v>
      </c>
      <c r="H1" s="57" t="s">
        <v>109</v>
      </c>
      <c r="I1" s="57" t="s">
        <v>110</v>
      </c>
      <c r="J1" s="57" t="s">
        <v>78</v>
      </c>
      <c r="K1" s="57" t="s">
        <v>79</v>
      </c>
      <c r="L1" s="57" t="s">
        <v>80</v>
      </c>
      <c r="M1" s="57" t="s">
        <v>81</v>
      </c>
      <c r="N1" s="57" t="s">
        <v>111</v>
      </c>
      <c r="O1" s="57" t="s">
        <v>83</v>
      </c>
      <c r="P1" s="57" t="s">
        <v>84</v>
      </c>
      <c r="Q1" s="57" t="s">
        <v>85</v>
      </c>
      <c r="R1" s="57" t="s">
        <v>86</v>
      </c>
      <c r="S1" s="57" t="s">
        <v>112</v>
      </c>
      <c r="T1" s="57" t="s">
        <v>113</v>
      </c>
      <c r="U1" s="57" t="s">
        <v>114</v>
      </c>
      <c r="V1" s="57" t="s">
        <v>89</v>
      </c>
      <c r="W1" s="57" t="s">
        <v>90</v>
      </c>
      <c r="X1" s="57" t="s">
        <v>115</v>
      </c>
      <c r="Y1" s="57" t="s">
        <v>92</v>
      </c>
      <c r="Z1" s="57" t="s">
        <v>839</v>
      </c>
      <c r="AA1" s="57" t="s">
        <v>116</v>
      </c>
      <c r="AB1" s="57" t="s">
        <v>117</v>
      </c>
      <c r="AC1" s="57" t="s">
        <v>118</v>
      </c>
      <c r="AD1" s="57" t="s">
        <v>119</v>
      </c>
      <c r="AE1" s="57" t="s">
        <v>120</v>
      </c>
      <c r="AF1" s="57" t="s">
        <v>121</v>
      </c>
      <c r="AG1" s="57" t="s">
        <v>122</v>
      </c>
      <c r="AH1" s="57" t="s">
        <v>123</v>
      </c>
      <c r="AI1" s="57" t="s">
        <v>124</v>
      </c>
      <c r="AJ1" s="57" t="s">
        <v>125</v>
      </c>
      <c r="AK1" s="57" t="s">
        <v>126</v>
      </c>
      <c r="AL1" s="57" t="s">
        <v>127</v>
      </c>
      <c r="AM1" s="57" t="s">
        <v>128</v>
      </c>
      <c r="AN1" s="57" t="s">
        <v>840</v>
      </c>
      <c r="AO1" s="57" t="s">
        <v>841</v>
      </c>
      <c r="AP1" s="57" t="s">
        <v>842</v>
      </c>
      <c r="AQ1" s="57" t="s">
        <v>297</v>
      </c>
    </row>
    <row r="2" spans="1:46" x14ac:dyDescent="0.35">
      <c r="A2" t="s">
        <v>18</v>
      </c>
      <c r="B2" t="s">
        <v>186</v>
      </c>
      <c r="C2" s="20">
        <v>46039.668645833335</v>
      </c>
      <c r="D2">
        <v>58.7</v>
      </c>
      <c r="E2">
        <v>1.5</v>
      </c>
      <c r="F2">
        <v>63</v>
      </c>
      <c r="G2">
        <v>57.4</v>
      </c>
      <c r="H2">
        <v>9.5400340715502576</v>
      </c>
      <c r="I2" t="s">
        <v>303</v>
      </c>
      <c r="J2">
        <v>19</v>
      </c>
      <c r="K2">
        <v>219</v>
      </c>
      <c r="L2">
        <v>77</v>
      </c>
      <c r="M2">
        <v>221</v>
      </c>
      <c r="N2">
        <v>2573</v>
      </c>
      <c r="O2">
        <v>98.2</v>
      </c>
      <c r="P2">
        <v>1.45</v>
      </c>
      <c r="Q2">
        <v>80</v>
      </c>
      <c r="R2">
        <v>18</v>
      </c>
      <c r="S2">
        <v>0.93480000000000008</v>
      </c>
      <c r="T2">
        <v>1</v>
      </c>
      <c r="U2">
        <v>166.32</v>
      </c>
      <c r="V2">
        <v>-4.3</v>
      </c>
      <c r="W2">
        <v>0.81</v>
      </c>
      <c r="X2">
        <v>1</v>
      </c>
      <c r="Y2">
        <v>3404</v>
      </c>
      <c r="Z2">
        <v>92.128888888888895</v>
      </c>
      <c r="AA2">
        <v>0</v>
      </c>
      <c r="AB2">
        <v>0.87</v>
      </c>
      <c r="AC2">
        <v>16</v>
      </c>
      <c r="AD2">
        <v>7</v>
      </c>
      <c r="AE2">
        <v>1</v>
      </c>
      <c r="AF2">
        <v>0.5</v>
      </c>
      <c r="AG2">
        <v>0</v>
      </c>
      <c r="AH2" t="s">
        <v>302</v>
      </c>
      <c r="AI2">
        <v>0</v>
      </c>
      <c r="AJ2">
        <v>0.3</v>
      </c>
      <c r="AK2">
        <v>0.7</v>
      </c>
      <c r="AL2">
        <v>0</v>
      </c>
      <c r="AM2">
        <v>0</v>
      </c>
      <c r="AN2">
        <v>75.195999999999998</v>
      </c>
      <c r="AO2">
        <v>27.50044444444444</v>
      </c>
      <c r="AP2">
        <v>0.92222222222222217</v>
      </c>
      <c r="AQ2" t="s">
        <v>20</v>
      </c>
      <c r="AR2" s="100">
        <v>0.86799999999999999</v>
      </c>
      <c r="AS2" s="100" t="s">
        <v>975</v>
      </c>
      <c r="AT2" s="100">
        <v>0.69599999999999995</v>
      </c>
    </row>
    <row r="3" spans="1:46" x14ac:dyDescent="0.35">
      <c r="A3" t="s">
        <v>177</v>
      </c>
      <c r="B3" t="s">
        <v>186</v>
      </c>
      <c r="C3" s="20">
        <v>46039.668645833335</v>
      </c>
      <c r="D3">
        <v>54.5</v>
      </c>
      <c r="E3">
        <v>1.6</v>
      </c>
      <c r="F3">
        <v>56.5</v>
      </c>
      <c r="G3">
        <v>53</v>
      </c>
      <c r="H3">
        <v>6.4220183486238529</v>
      </c>
      <c r="I3" t="s">
        <v>303</v>
      </c>
      <c r="J3">
        <v>24.5</v>
      </c>
      <c r="K3">
        <v>334</v>
      </c>
      <c r="L3">
        <v>87</v>
      </c>
      <c r="M3">
        <v>103</v>
      </c>
      <c r="N3">
        <v>2573</v>
      </c>
      <c r="O3">
        <v>99.5</v>
      </c>
      <c r="P3">
        <v>0.24</v>
      </c>
      <c r="Q3">
        <v>49</v>
      </c>
      <c r="R3">
        <v>7</v>
      </c>
      <c r="S3">
        <v>0.98840000000000006</v>
      </c>
      <c r="T3">
        <v>1</v>
      </c>
      <c r="U3">
        <v>283.81</v>
      </c>
      <c r="V3">
        <v>-3.5</v>
      </c>
      <c r="W3">
        <v>0.755</v>
      </c>
      <c r="X3">
        <v>1</v>
      </c>
      <c r="Y3">
        <v>2344</v>
      </c>
      <c r="Z3">
        <v>87.898777777777781</v>
      </c>
      <c r="AA3">
        <v>2</v>
      </c>
      <c r="AB3">
        <v>0.92</v>
      </c>
      <c r="AC3">
        <v>16</v>
      </c>
      <c r="AD3">
        <v>7</v>
      </c>
      <c r="AE3">
        <v>2</v>
      </c>
      <c r="AF3">
        <v>0.5</v>
      </c>
      <c r="AG3">
        <v>0</v>
      </c>
      <c r="AH3" t="s">
        <v>302</v>
      </c>
      <c r="AI3">
        <v>0</v>
      </c>
      <c r="AJ3">
        <v>0.3</v>
      </c>
      <c r="AK3">
        <v>0.7</v>
      </c>
      <c r="AL3">
        <v>0</v>
      </c>
      <c r="AM3">
        <v>0</v>
      </c>
      <c r="AN3">
        <v>78.893000000000001</v>
      </c>
      <c r="AO3">
        <v>33.056488888888893</v>
      </c>
      <c r="AP3">
        <v>0.8388888888888888</v>
      </c>
      <c r="AQ3" t="s">
        <v>20</v>
      </c>
      <c r="AR3" s="100">
        <v>0.89100000000000001</v>
      </c>
      <c r="AS3" s="100" t="s">
        <v>975</v>
      </c>
      <c r="AT3" s="100">
        <v>0.72</v>
      </c>
    </row>
    <row r="4" spans="1:46" x14ac:dyDescent="0.35">
      <c r="A4" t="s">
        <v>178</v>
      </c>
      <c r="B4" t="s">
        <v>186</v>
      </c>
      <c r="C4" s="20">
        <v>46039.668645833335</v>
      </c>
      <c r="D4">
        <v>55.8</v>
      </c>
      <c r="E4">
        <v>0.7</v>
      </c>
      <c r="F4">
        <v>57.4</v>
      </c>
      <c r="G4">
        <v>52.8</v>
      </c>
      <c r="H4">
        <v>8.243727598566311</v>
      </c>
      <c r="I4" t="s">
        <v>303</v>
      </c>
      <c r="J4">
        <v>13.2</v>
      </c>
      <c r="K4">
        <v>286</v>
      </c>
      <c r="L4">
        <v>113</v>
      </c>
      <c r="M4">
        <v>195</v>
      </c>
      <c r="N4">
        <v>2573</v>
      </c>
      <c r="O4">
        <v>97.9</v>
      </c>
      <c r="P4">
        <v>0.25</v>
      </c>
      <c r="Q4">
        <v>95</v>
      </c>
      <c r="R4">
        <v>26</v>
      </c>
      <c r="S4">
        <v>0.98160000000000003</v>
      </c>
      <c r="T4">
        <v>1</v>
      </c>
      <c r="U4">
        <v>232.96</v>
      </c>
      <c r="V4">
        <v>0.3</v>
      </c>
      <c r="W4">
        <v>0.86799999999999999</v>
      </c>
      <c r="X4">
        <v>1</v>
      </c>
      <c r="Y4">
        <v>744</v>
      </c>
      <c r="Z4">
        <v>87.898777777777781</v>
      </c>
      <c r="AA4">
        <v>0</v>
      </c>
      <c r="AB4">
        <v>0.95</v>
      </c>
      <c r="AC4">
        <v>16</v>
      </c>
      <c r="AD4">
        <v>7</v>
      </c>
      <c r="AE4">
        <v>3</v>
      </c>
      <c r="AF4">
        <v>0.5</v>
      </c>
      <c r="AG4">
        <v>0</v>
      </c>
      <c r="AH4" t="s">
        <v>302</v>
      </c>
      <c r="AI4">
        <v>0</v>
      </c>
      <c r="AJ4">
        <v>0.3</v>
      </c>
      <c r="AK4">
        <v>0.7</v>
      </c>
      <c r="AL4">
        <v>0</v>
      </c>
      <c r="AM4">
        <v>0</v>
      </c>
      <c r="AN4">
        <v>76.681999999999988</v>
      </c>
      <c r="AO4">
        <v>25.884488888888889</v>
      </c>
      <c r="AP4">
        <v>0.97222222222222221</v>
      </c>
      <c r="AQ4" t="s">
        <v>20</v>
      </c>
      <c r="AR4" s="100">
        <v>0.90300000000000002</v>
      </c>
      <c r="AS4" s="100" t="s">
        <v>975</v>
      </c>
      <c r="AT4" s="100">
        <v>0.754</v>
      </c>
    </row>
    <row r="5" spans="1:46" x14ac:dyDescent="0.35">
      <c r="A5" t="s">
        <v>179</v>
      </c>
      <c r="B5" t="s">
        <v>186</v>
      </c>
      <c r="C5" s="20">
        <v>46039.668645833335</v>
      </c>
      <c r="D5">
        <v>43.6</v>
      </c>
      <c r="E5">
        <v>0.8</v>
      </c>
      <c r="F5">
        <v>44.7</v>
      </c>
      <c r="G5">
        <v>40.5</v>
      </c>
      <c r="H5">
        <v>9.6330275229357856</v>
      </c>
      <c r="I5" t="s">
        <v>303</v>
      </c>
      <c r="J5">
        <v>14.4</v>
      </c>
      <c r="K5">
        <v>259</v>
      </c>
      <c r="L5">
        <v>89</v>
      </c>
      <c r="M5">
        <v>202</v>
      </c>
      <c r="N5">
        <v>2573</v>
      </c>
      <c r="O5">
        <v>99.1</v>
      </c>
      <c r="P5">
        <v>0.19</v>
      </c>
      <c r="Q5">
        <v>78</v>
      </c>
      <c r="R5">
        <v>3</v>
      </c>
      <c r="S5">
        <v>0.98880000000000001</v>
      </c>
      <c r="T5">
        <v>1</v>
      </c>
      <c r="U5">
        <v>165.55</v>
      </c>
      <c r="V5">
        <v>-4.0999999999999996</v>
      </c>
      <c r="W5">
        <v>0.85599999999999998</v>
      </c>
      <c r="X5">
        <v>1</v>
      </c>
      <c r="Y5">
        <v>3871</v>
      </c>
      <c r="Z5">
        <v>87.898777777777781</v>
      </c>
      <c r="AA5">
        <v>1</v>
      </c>
      <c r="AB5">
        <v>0.88</v>
      </c>
      <c r="AC5">
        <v>16</v>
      </c>
      <c r="AD5">
        <v>7</v>
      </c>
      <c r="AE5">
        <v>4</v>
      </c>
      <c r="AF5">
        <v>0.5</v>
      </c>
      <c r="AG5">
        <v>0</v>
      </c>
      <c r="AH5" t="s">
        <v>302</v>
      </c>
      <c r="AI5">
        <v>0</v>
      </c>
      <c r="AJ5">
        <v>0.3</v>
      </c>
      <c r="AK5">
        <v>0.7</v>
      </c>
      <c r="AL5">
        <v>0</v>
      </c>
      <c r="AM5">
        <v>0</v>
      </c>
      <c r="AN5">
        <v>75.376000000000005</v>
      </c>
      <c r="AO5">
        <v>31.072488888888888</v>
      </c>
      <c r="AP5">
        <v>0.85</v>
      </c>
      <c r="AQ5" t="s">
        <v>20</v>
      </c>
      <c r="AR5" s="100">
        <v>0.89200000000000002</v>
      </c>
      <c r="AS5" s="100" t="s">
        <v>975</v>
      </c>
      <c r="AT5" s="100">
        <v>0.69</v>
      </c>
    </row>
    <row r="6" spans="1:46" x14ac:dyDescent="0.35">
      <c r="A6" t="s">
        <v>180</v>
      </c>
      <c r="B6" t="s">
        <v>186</v>
      </c>
      <c r="C6" s="20">
        <v>46039.668645833335</v>
      </c>
      <c r="D6">
        <v>47.6</v>
      </c>
      <c r="E6">
        <v>1.5</v>
      </c>
      <c r="F6">
        <v>52.6</v>
      </c>
      <c r="G6">
        <v>44.8</v>
      </c>
      <c r="H6">
        <v>16.386554621848749</v>
      </c>
      <c r="I6" t="s">
        <v>303</v>
      </c>
      <c r="J6">
        <v>14.3</v>
      </c>
      <c r="K6">
        <v>305</v>
      </c>
      <c r="L6">
        <v>83</v>
      </c>
      <c r="M6">
        <v>200</v>
      </c>
      <c r="N6">
        <v>2573</v>
      </c>
      <c r="O6">
        <v>97.6</v>
      </c>
      <c r="P6">
        <v>1.08</v>
      </c>
      <c r="Q6">
        <v>45</v>
      </c>
      <c r="R6">
        <v>11</v>
      </c>
      <c r="S6">
        <v>0.94720000000000004</v>
      </c>
      <c r="T6">
        <v>1</v>
      </c>
      <c r="U6">
        <v>225.78</v>
      </c>
      <c r="V6">
        <v>2.7</v>
      </c>
      <c r="W6">
        <v>0.85699999999999998</v>
      </c>
      <c r="X6">
        <v>1</v>
      </c>
      <c r="Y6">
        <v>2670</v>
      </c>
      <c r="Z6">
        <v>87.898777777777781</v>
      </c>
      <c r="AA6">
        <v>2</v>
      </c>
      <c r="AB6">
        <v>0.97</v>
      </c>
      <c r="AC6">
        <v>16</v>
      </c>
      <c r="AD6">
        <v>7</v>
      </c>
      <c r="AE6">
        <v>5</v>
      </c>
      <c r="AF6">
        <v>0.5</v>
      </c>
      <c r="AG6">
        <v>0</v>
      </c>
      <c r="AH6" t="s">
        <v>302</v>
      </c>
      <c r="AI6">
        <v>0</v>
      </c>
      <c r="AJ6">
        <v>0.3</v>
      </c>
      <c r="AK6">
        <v>0.7</v>
      </c>
      <c r="AL6">
        <v>0</v>
      </c>
      <c r="AM6">
        <v>0</v>
      </c>
      <c r="AN6">
        <v>76.769000000000005</v>
      </c>
      <c r="AO6">
        <v>31.408488888888886</v>
      </c>
      <c r="AP6">
        <v>0.90555555555555556</v>
      </c>
      <c r="AQ6" t="s">
        <v>20</v>
      </c>
      <c r="AR6" s="100">
        <v>0.89</v>
      </c>
      <c r="AS6" s="100" t="s">
        <v>975</v>
      </c>
      <c r="AT6" s="100">
        <v>0.75900000000000001</v>
      </c>
    </row>
    <row r="7" spans="1:46" x14ac:dyDescent="0.35">
      <c r="A7" t="s">
        <v>181</v>
      </c>
      <c r="B7" t="s">
        <v>186</v>
      </c>
      <c r="C7" s="20">
        <v>46039.668645833335</v>
      </c>
      <c r="D7">
        <v>59</v>
      </c>
      <c r="E7">
        <v>1.7</v>
      </c>
      <c r="F7">
        <v>60.1</v>
      </c>
      <c r="G7">
        <v>57.6</v>
      </c>
      <c r="H7">
        <v>4.2372881355932206</v>
      </c>
      <c r="I7" t="s">
        <v>303</v>
      </c>
      <c r="J7">
        <v>12.5</v>
      </c>
      <c r="K7">
        <v>282</v>
      </c>
      <c r="L7">
        <v>101</v>
      </c>
      <c r="M7">
        <v>131</v>
      </c>
      <c r="N7">
        <v>2573</v>
      </c>
      <c r="O7">
        <v>99.3</v>
      </c>
      <c r="P7">
        <v>1.4</v>
      </c>
      <c r="Q7">
        <v>79</v>
      </c>
      <c r="R7">
        <v>23</v>
      </c>
      <c r="S7">
        <v>0.94120000000000004</v>
      </c>
      <c r="T7">
        <v>1</v>
      </c>
      <c r="U7">
        <v>124.53</v>
      </c>
      <c r="V7">
        <v>2.4</v>
      </c>
      <c r="W7">
        <v>0.875</v>
      </c>
      <c r="X7">
        <v>1</v>
      </c>
      <c r="Y7">
        <v>694</v>
      </c>
      <c r="Z7">
        <v>92.128888888888895</v>
      </c>
      <c r="AA7">
        <v>3</v>
      </c>
      <c r="AB7">
        <v>0.78</v>
      </c>
      <c r="AC7">
        <v>16</v>
      </c>
      <c r="AD7">
        <v>7</v>
      </c>
      <c r="AE7">
        <v>6</v>
      </c>
      <c r="AF7">
        <v>0.5</v>
      </c>
      <c r="AG7">
        <v>0</v>
      </c>
      <c r="AH7" t="s">
        <v>302</v>
      </c>
      <c r="AI7">
        <v>0</v>
      </c>
      <c r="AJ7">
        <v>0.3</v>
      </c>
      <c r="AK7">
        <v>0.7</v>
      </c>
      <c r="AL7">
        <v>0</v>
      </c>
      <c r="AM7">
        <v>0</v>
      </c>
      <c r="AN7">
        <v>71.448999999999998</v>
      </c>
      <c r="AO7">
        <v>29.736444444444444</v>
      </c>
      <c r="AP7">
        <v>0.76666666666666661</v>
      </c>
      <c r="AQ7" t="s">
        <v>20</v>
      </c>
      <c r="AR7" s="100">
        <v>0.84499999999999997</v>
      </c>
      <c r="AS7" s="100" t="s">
        <v>975</v>
      </c>
      <c r="AT7" s="100">
        <v>0.60699999999999998</v>
      </c>
    </row>
    <row r="8" spans="1:46" x14ac:dyDescent="0.35">
      <c r="A8" t="s">
        <v>182</v>
      </c>
      <c r="B8" t="s">
        <v>186</v>
      </c>
      <c r="C8" s="20">
        <v>46039.668645833335</v>
      </c>
      <c r="D8">
        <v>49.3</v>
      </c>
      <c r="E8">
        <v>2.2999999999999998</v>
      </c>
      <c r="F8">
        <v>50.9</v>
      </c>
      <c r="G8">
        <v>47.9</v>
      </c>
      <c r="H8">
        <v>6.0851926977687629</v>
      </c>
      <c r="I8" t="s">
        <v>303</v>
      </c>
      <c r="J8">
        <v>21.4</v>
      </c>
      <c r="K8">
        <v>173</v>
      </c>
      <c r="L8">
        <v>75</v>
      </c>
      <c r="M8">
        <v>234</v>
      </c>
      <c r="N8">
        <v>2573</v>
      </c>
      <c r="O8">
        <v>100</v>
      </c>
      <c r="P8">
        <v>1.02</v>
      </c>
      <c r="Q8">
        <v>89</v>
      </c>
      <c r="R8">
        <v>9</v>
      </c>
      <c r="S8">
        <v>0.95920000000000005</v>
      </c>
      <c r="T8">
        <v>1</v>
      </c>
      <c r="U8">
        <v>276.01</v>
      </c>
      <c r="V8">
        <v>2.1</v>
      </c>
      <c r="W8">
        <v>0.78600000000000003</v>
      </c>
      <c r="X8">
        <v>1</v>
      </c>
      <c r="Y8">
        <v>1657</v>
      </c>
      <c r="Z8">
        <v>88.325611111111115</v>
      </c>
      <c r="AA8">
        <v>5</v>
      </c>
      <c r="AB8">
        <v>0.75</v>
      </c>
      <c r="AC8">
        <v>16</v>
      </c>
      <c r="AD8">
        <v>7</v>
      </c>
      <c r="AE8">
        <v>7</v>
      </c>
      <c r="AF8">
        <v>0.5</v>
      </c>
      <c r="AG8">
        <v>0</v>
      </c>
      <c r="AH8" t="s">
        <v>302</v>
      </c>
      <c r="AI8">
        <v>0</v>
      </c>
      <c r="AJ8">
        <v>0.3</v>
      </c>
      <c r="AK8">
        <v>0.7</v>
      </c>
      <c r="AL8">
        <v>0</v>
      </c>
      <c r="AM8">
        <v>0</v>
      </c>
      <c r="AN8">
        <v>73.284000000000006</v>
      </c>
      <c r="AO8">
        <v>35.397755555555555</v>
      </c>
      <c r="AP8">
        <v>0.98333333333333328</v>
      </c>
      <c r="AQ8" t="s">
        <v>20</v>
      </c>
      <c r="AR8" s="100">
        <v>0.83499999999999996</v>
      </c>
      <c r="AS8" s="100" t="s">
        <v>975</v>
      </c>
      <c r="AT8" s="100">
        <v>0.55300000000000005</v>
      </c>
    </row>
    <row r="9" spans="1:46" x14ac:dyDescent="0.35">
      <c r="A9" t="s">
        <v>183</v>
      </c>
      <c r="B9" t="s">
        <v>186</v>
      </c>
      <c r="C9" s="20">
        <v>46039.668645833335</v>
      </c>
      <c r="D9">
        <v>53.5</v>
      </c>
      <c r="E9">
        <v>1.3</v>
      </c>
      <c r="F9">
        <v>54.6</v>
      </c>
      <c r="G9">
        <v>52</v>
      </c>
      <c r="H9">
        <v>4.8598130841121518</v>
      </c>
      <c r="I9" t="s">
        <v>303</v>
      </c>
      <c r="J9">
        <v>10</v>
      </c>
      <c r="K9">
        <v>171</v>
      </c>
      <c r="L9">
        <v>111</v>
      </c>
      <c r="M9">
        <v>91</v>
      </c>
      <c r="N9">
        <v>2573</v>
      </c>
      <c r="O9">
        <v>95.6</v>
      </c>
      <c r="P9">
        <v>1.23</v>
      </c>
      <c r="Q9">
        <v>66</v>
      </c>
      <c r="R9">
        <v>6</v>
      </c>
      <c r="S9">
        <v>0.93320000000000003</v>
      </c>
      <c r="T9">
        <v>1</v>
      </c>
      <c r="U9">
        <v>247.05</v>
      </c>
      <c r="V9">
        <v>0.7</v>
      </c>
      <c r="W9">
        <v>0.9</v>
      </c>
      <c r="X9">
        <v>1</v>
      </c>
      <c r="Y9">
        <v>2618</v>
      </c>
      <c r="Z9">
        <v>87.202611111111111</v>
      </c>
      <c r="AA9">
        <v>7</v>
      </c>
      <c r="AB9">
        <v>0.78</v>
      </c>
      <c r="AC9">
        <v>16</v>
      </c>
      <c r="AD9">
        <v>7</v>
      </c>
      <c r="AE9">
        <v>8</v>
      </c>
      <c r="AF9">
        <v>0.5</v>
      </c>
      <c r="AG9">
        <v>0</v>
      </c>
      <c r="AH9" t="s">
        <v>302</v>
      </c>
      <c r="AI9">
        <v>0</v>
      </c>
      <c r="AJ9">
        <v>0.3</v>
      </c>
      <c r="AK9">
        <v>0.7</v>
      </c>
      <c r="AL9">
        <v>0</v>
      </c>
      <c r="AM9">
        <v>0</v>
      </c>
      <c r="AN9">
        <v>70.664000000000001</v>
      </c>
      <c r="AO9">
        <v>30.286955555555554</v>
      </c>
      <c r="AP9">
        <v>0.93888888888888888</v>
      </c>
      <c r="AQ9" t="s">
        <v>20</v>
      </c>
      <c r="AR9" s="100">
        <v>0.84799999999999998</v>
      </c>
      <c r="AS9" s="100" t="s">
        <v>975</v>
      </c>
      <c r="AT9" s="100">
        <v>0.57699999999999996</v>
      </c>
    </row>
    <row r="10" spans="1:46" x14ac:dyDescent="0.35">
      <c r="A10" t="s">
        <v>184</v>
      </c>
      <c r="B10" t="s">
        <v>186</v>
      </c>
      <c r="C10" s="20">
        <v>46039.668645833335</v>
      </c>
      <c r="D10">
        <v>58.7</v>
      </c>
      <c r="E10">
        <v>0.9</v>
      </c>
      <c r="F10">
        <v>62.6</v>
      </c>
      <c r="G10">
        <v>55</v>
      </c>
      <c r="H10">
        <v>12.947189097103919</v>
      </c>
      <c r="I10" t="s">
        <v>303</v>
      </c>
      <c r="J10">
        <v>16.100000000000001</v>
      </c>
      <c r="K10">
        <v>246</v>
      </c>
      <c r="L10">
        <v>89</v>
      </c>
      <c r="M10">
        <v>231</v>
      </c>
      <c r="N10">
        <v>2573</v>
      </c>
      <c r="O10">
        <v>98.1</v>
      </c>
      <c r="P10">
        <v>1.01</v>
      </c>
      <c r="Q10">
        <v>91</v>
      </c>
      <c r="R10">
        <v>21</v>
      </c>
      <c r="S10">
        <v>0.95200000000000007</v>
      </c>
      <c r="T10">
        <v>1</v>
      </c>
      <c r="U10">
        <v>268.77999999999997</v>
      </c>
      <c r="V10">
        <v>-2.6</v>
      </c>
      <c r="W10">
        <v>0.83899999999999997</v>
      </c>
      <c r="X10">
        <v>0</v>
      </c>
      <c r="Y10">
        <v>1781</v>
      </c>
      <c r="Z10">
        <v>87.202611111111111</v>
      </c>
      <c r="AA10">
        <v>1</v>
      </c>
      <c r="AB10">
        <v>0.72</v>
      </c>
      <c r="AC10">
        <v>16</v>
      </c>
      <c r="AD10">
        <v>7</v>
      </c>
      <c r="AE10">
        <v>9</v>
      </c>
      <c r="AF10">
        <v>0.5</v>
      </c>
      <c r="AG10">
        <v>0</v>
      </c>
      <c r="AH10" t="s">
        <v>302</v>
      </c>
      <c r="AI10">
        <v>0</v>
      </c>
      <c r="AJ10">
        <v>0.3</v>
      </c>
      <c r="AK10">
        <v>0.7</v>
      </c>
      <c r="AL10">
        <v>0</v>
      </c>
      <c r="AM10">
        <v>0</v>
      </c>
      <c r="AN10">
        <v>71.064999999999998</v>
      </c>
      <c r="AO10">
        <v>30.878955555555553</v>
      </c>
      <c r="AP10">
        <v>0.9277777777777777</v>
      </c>
      <c r="AQ10" t="s">
        <v>20</v>
      </c>
      <c r="AR10" s="100">
        <v>0.84799999999999998</v>
      </c>
      <c r="AS10" s="100" t="s">
        <v>975</v>
      </c>
      <c r="AT10" s="100">
        <v>0.53200000000000003</v>
      </c>
    </row>
    <row r="11" spans="1:46" x14ac:dyDescent="0.35">
      <c r="A11" t="s">
        <v>185</v>
      </c>
      <c r="B11" t="s">
        <v>186</v>
      </c>
      <c r="C11" s="20">
        <v>46039.668645833335</v>
      </c>
      <c r="D11">
        <v>55.7</v>
      </c>
      <c r="E11">
        <v>2.2999999999999998</v>
      </c>
      <c r="F11">
        <v>59</v>
      </c>
      <c r="G11">
        <v>51.7</v>
      </c>
      <c r="H11">
        <v>13.105924596050263</v>
      </c>
      <c r="I11" t="s">
        <v>303</v>
      </c>
      <c r="J11">
        <v>18</v>
      </c>
      <c r="K11">
        <v>391</v>
      </c>
      <c r="L11">
        <v>105</v>
      </c>
      <c r="M11">
        <v>239</v>
      </c>
      <c r="N11">
        <v>2573</v>
      </c>
      <c r="O11">
        <v>98.3</v>
      </c>
      <c r="P11">
        <v>0.9</v>
      </c>
      <c r="Q11">
        <v>38</v>
      </c>
      <c r="R11">
        <v>29</v>
      </c>
      <c r="S11">
        <v>0.55720000000000003</v>
      </c>
      <c r="T11">
        <v>0</v>
      </c>
      <c r="U11">
        <v>58.5</v>
      </c>
      <c r="V11">
        <v>-4.5999999999999996</v>
      </c>
      <c r="W11">
        <v>0.82</v>
      </c>
      <c r="X11">
        <v>1</v>
      </c>
      <c r="Y11">
        <v>980</v>
      </c>
      <c r="Z11">
        <v>87.898777777777781</v>
      </c>
      <c r="AA11">
        <v>2</v>
      </c>
      <c r="AB11">
        <v>0.73</v>
      </c>
      <c r="AC11">
        <v>16</v>
      </c>
      <c r="AD11">
        <v>7</v>
      </c>
      <c r="AE11">
        <v>10</v>
      </c>
      <c r="AF11">
        <v>0.5</v>
      </c>
      <c r="AG11">
        <v>0</v>
      </c>
      <c r="AH11" t="s">
        <v>302</v>
      </c>
      <c r="AI11">
        <v>0</v>
      </c>
      <c r="AJ11">
        <v>0.3</v>
      </c>
      <c r="AK11">
        <v>0.7</v>
      </c>
      <c r="AL11">
        <v>0</v>
      </c>
      <c r="AM11">
        <v>0</v>
      </c>
      <c r="AN11">
        <v>33.894000000000005</v>
      </c>
      <c r="AO11">
        <v>37.168488888888888</v>
      </c>
      <c r="AP11">
        <v>0.54055555555555557</v>
      </c>
      <c r="AQ11" t="s">
        <v>20</v>
      </c>
      <c r="AR11" s="94">
        <v>0.35499999999999998</v>
      </c>
      <c r="AS11" s="94" t="s">
        <v>976</v>
      </c>
      <c r="AT11" s="94">
        <v>0.22800000000000001</v>
      </c>
    </row>
    <row r="12" spans="1:46" x14ac:dyDescent="0.35">
      <c r="A12" t="s">
        <v>310</v>
      </c>
      <c r="B12" t="s">
        <v>186</v>
      </c>
      <c r="C12" s="20">
        <v>46039.668645833335</v>
      </c>
      <c r="D12">
        <v>55.1</v>
      </c>
      <c r="E12">
        <v>1</v>
      </c>
      <c r="F12">
        <v>57.4</v>
      </c>
      <c r="G12">
        <v>53.1</v>
      </c>
      <c r="H12">
        <v>7.8039927404718643</v>
      </c>
      <c r="I12" t="s">
        <v>303</v>
      </c>
      <c r="J12">
        <v>13.6</v>
      </c>
      <c r="K12">
        <v>174</v>
      </c>
      <c r="L12">
        <v>79</v>
      </c>
      <c r="M12">
        <v>139</v>
      </c>
      <c r="N12">
        <v>2573</v>
      </c>
      <c r="O12">
        <v>99.8</v>
      </c>
      <c r="P12">
        <v>0.79</v>
      </c>
      <c r="Q12">
        <v>59</v>
      </c>
      <c r="R12">
        <v>18</v>
      </c>
      <c r="S12">
        <v>0.96760000000000002</v>
      </c>
      <c r="T12">
        <v>1</v>
      </c>
      <c r="U12">
        <v>69.87</v>
      </c>
      <c r="V12">
        <v>2.1</v>
      </c>
      <c r="W12">
        <v>0.86399999999999999</v>
      </c>
      <c r="X12">
        <v>1</v>
      </c>
      <c r="Y12">
        <v>3511</v>
      </c>
      <c r="Z12">
        <v>87.268555555555551</v>
      </c>
      <c r="AA12">
        <v>5</v>
      </c>
      <c r="AB12">
        <v>0.93</v>
      </c>
      <c r="AC12">
        <v>16</v>
      </c>
      <c r="AD12">
        <v>7</v>
      </c>
      <c r="AE12">
        <v>11</v>
      </c>
      <c r="AF12">
        <v>0.5</v>
      </c>
      <c r="AG12">
        <v>0</v>
      </c>
      <c r="AH12" t="s">
        <v>302</v>
      </c>
      <c r="AI12">
        <v>0</v>
      </c>
      <c r="AJ12">
        <v>0.3</v>
      </c>
      <c r="AK12">
        <v>0.7</v>
      </c>
      <c r="AL12">
        <v>0</v>
      </c>
      <c r="AM12">
        <v>0</v>
      </c>
      <c r="AN12">
        <v>76.00200000000001</v>
      </c>
      <c r="AO12">
        <v>28.296577777777784</v>
      </c>
      <c r="AP12">
        <v>0.86666666666666659</v>
      </c>
      <c r="AQ12" t="s">
        <v>20</v>
      </c>
      <c r="AR12" s="100">
        <v>0.89300000000000002</v>
      </c>
      <c r="AS12" s="100" t="s">
        <v>975</v>
      </c>
      <c r="AT12" s="100">
        <v>0.72499999999999998</v>
      </c>
    </row>
    <row r="13" spans="1:46" x14ac:dyDescent="0.35">
      <c r="A13" t="s">
        <v>311</v>
      </c>
      <c r="B13" t="s">
        <v>186</v>
      </c>
      <c r="C13" s="20">
        <v>46039.668645833335</v>
      </c>
      <c r="D13">
        <v>44.9</v>
      </c>
      <c r="E13">
        <v>2.4</v>
      </c>
      <c r="F13">
        <v>47.8</v>
      </c>
      <c r="G13">
        <v>40.700000000000003</v>
      </c>
      <c r="H13">
        <v>15.812917594654776</v>
      </c>
      <c r="I13" t="s">
        <v>303</v>
      </c>
      <c r="J13">
        <v>22.1</v>
      </c>
      <c r="K13">
        <v>190</v>
      </c>
      <c r="L13">
        <v>98</v>
      </c>
      <c r="M13">
        <v>200</v>
      </c>
      <c r="N13">
        <v>2573</v>
      </c>
      <c r="O13">
        <v>98.9</v>
      </c>
      <c r="P13">
        <v>0.41</v>
      </c>
      <c r="Q13">
        <v>55</v>
      </c>
      <c r="R13">
        <v>2</v>
      </c>
      <c r="S13">
        <v>0.97920000000000007</v>
      </c>
      <c r="T13">
        <v>1</v>
      </c>
      <c r="U13">
        <v>232.91</v>
      </c>
      <c r="V13">
        <v>2.2999999999999998</v>
      </c>
      <c r="W13">
        <v>0.77900000000000003</v>
      </c>
      <c r="X13">
        <v>1</v>
      </c>
      <c r="Y13">
        <v>3402</v>
      </c>
      <c r="Z13">
        <v>89.371833333333342</v>
      </c>
      <c r="AA13">
        <v>0</v>
      </c>
      <c r="AB13">
        <v>0.84</v>
      </c>
      <c r="AC13">
        <v>16</v>
      </c>
      <c r="AD13">
        <v>7</v>
      </c>
      <c r="AE13">
        <v>12</v>
      </c>
      <c r="AF13">
        <v>0.5</v>
      </c>
      <c r="AG13">
        <v>0</v>
      </c>
      <c r="AH13" t="s">
        <v>302</v>
      </c>
      <c r="AI13">
        <v>0</v>
      </c>
      <c r="AJ13">
        <v>0.3</v>
      </c>
      <c r="AK13">
        <v>0.7</v>
      </c>
      <c r="AL13">
        <v>0</v>
      </c>
      <c r="AM13">
        <v>0</v>
      </c>
      <c r="AN13">
        <v>76.109000000000009</v>
      </c>
      <c r="AO13">
        <v>32.039266666666663</v>
      </c>
      <c r="AP13">
        <v>0.85555555555555551</v>
      </c>
      <c r="AQ13" t="s">
        <v>20</v>
      </c>
      <c r="AR13" s="100">
        <v>0.86099999999999999</v>
      </c>
      <c r="AS13" s="100" t="s">
        <v>975</v>
      </c>
      <c r="AT13" s="100">
        <v>0.64700000000000002</v>
      </c>
    </row>
    <row r="14" spans="1:46" x14ac:dyDescent="0.35">
      <c r="A14" t="s">
        <v>312</v>
      </c>
      <c r="B14" t="s">
        <v>186</v>
      </c>
      <c r="C14" s="20">
        <v>46039.668645833335</v>
      </c>
      <c r="D14">
        <v>52.8</v>
      </c>
      <c r="E14">
        <v>2.2000000000000002</v>
      </c>
      <c r="F14">
        <v>55.1</v>
      </c>
      <c r="G14">
        <v>49.9</v>
      </c>
      <c r="H14">
        <v>9.8484848484848548</v>
      </c>
      <c r="I14" t="s">
        <v>303</v>
      </c>
      <c r="J14">
        <v>24.7</v>
      </c>
      <c r="K14">
        <v>208</v>
      </c>
      <c r="L14">
        <v>87</v>
      </c>
      <c r="M14">
        <v>87</v>
      </c>
      <c r="N14">
        <v>2573</v>
      </c>
      <c r="O14">
        <v>95.3</v>
      </c>
      <c r="P14">
        <v>0.12</v>
      </c>
      <c r="Q14">
        <v>17</v>
      </c>
      <c r="R14">
        <v>8</v>
      </c>
      <c r="S14">
        <v>0.57640000000000002</v>
      </c>
      <c r="T14">
        <v>0</v>
      </c>
      <c r="U14">
        <v>227.45</v>
      </c>
      <c r="V14">
        <v>4</v>
      </c>
      <c r="W14">
        <v>0.753</v>
      </c>
      <c r="X14">
        <v>1</v>
      </c>
      <c r="Y14">
        <v>1846</v>
      </c>
      <c r="Z14">
        <v>88.325611111111115</v>
      </c>
      <c r="AA14">
        <v>6</v>
      </c>
      <c r="AB14">
        <v>0.71</v>
      </c>
      <c r="AC14">
        <v>16</v>
      </c>
      <c r="AD14">
        <v>7</v>
      </c>
      <c r="AE14">
        <v>13</v>
      </c>
      <c r="AF14">
        <v>0.5</v>
      </c>
      <c r="AG14">
        <v>0</v>
      </c>
      <c r="AH14" t="s">
        <v>302</v>
      </c>
      <c r="AI14">
        <v>0</v>
      </c>
      <c r="AJ14">
        <v>0.3</v>
      </c>
      <c r="AK14">
        <v>0.7</v>
      </c>
      <c r="AL14">
        <v>0</v>
      </c>
      <c r="AM14">
        <v>0</v>
      </c>
      <c r="AN14">
        <v>35.453000000000003</v>
      </c>
      <c r="AO14">
        <v>35.365755555555552</v>
      </c>
      <c r="AP14">
        <v>0.59499999999999997</v>
      </c>
      <c r="AQ14" t="s">
        <v>20</v>
      </c>
      <c r="AR14" s="94">
        <v>0.36299999999999999</v>
      </c>
      <c r="AS14" s="94" t="s">
        <v>976</v>
      </c>
      <c r="AT14" s="94">
        <v>0.22800000000000001</v>
      </c>
    </row>
    <row r="15" spans="1:46" x14ac:dyDescent="0.35">
      <c r="A15" t="s">
        <v>313</v>
      </c>
      <c r="B15" t="s">
        <v>186</v>
      </c>
      <c r="C15" s="20">
        <v>46039.668645833335</v>
      </c>
      <c r="D15">
        <v>59.7</v>
      </c>
      <c r="E15">
        <v>1.8</v>
      </c>
      <c r="F15">
        <v>62.4</v>
      </c>
      <c r="G15">
        <v>57.4</v>
      </c>
      <c r="H15">
        <v>8.3752093802345051</v>
      </c>
      <c r="I15" t="s">
        <v>303</v>
      </c>
      <c r="J15">
        <v>19.100000000000001</v>
      </c>
      <c r="K15">
        <v>381</v>
      </c>
      <c r="L15">
        <v>70</v>
      </c>
      <c r="M15">
        <v>94</v>
      </c>
      <c r="N15">
        <v>2573</v>
      </c>
      <c r="O15">
        <v>98.3</v>
      </c>
      <c r="P15">
        <v>0.31</v>
      </c>
      <c r="Q15">
        <v>71</v>
      </c>
      <c r="R15">
        <v>1</v>
      </c>
      <c r="S15">
        <v>0.98080000000000001</v>
      </c>
      <c r="T15">
        <v>1</v>
      </c>
      <c r="U15">
        <v>66.91</v>
      </c>
      <c r="V15">
        <v>3.8</v>
      </c>
      <c r="W15">
        <v>0.80899999999999994</v>
      </c>
      <c r="X15">
        <v>1</v>
      </c>
      <c r="Y15">
        <v>1040</v>
      </c>
      <c r="Z15">
        <v>92.128888888888895</v>
      </c>
      <c r="AA15">
        <v>4</v>
      </c>
      <c r="AB15">
        <v>0.93</v>
      </c>
      <c r="AC15">
        <v>16</v>
      </c>
      <c r="AD15">
        <v>7</v>
      </c>
      <c r="AE15">
        <v>14</v>
      </c>
      <c r="AF15">
        <v>0.5</v>
      </c>
      <c r="AG15">
        <v>0</v>
      </c>
      <c r="AH15" t="s">
        <v>302</v>
      </c>
      <c r="AI15">
        <v>0</v>
      </c>
      <c r="AJ15">
        <v>0.3</v>
      </c>
      <c r="AK15">
        <v>0.7</v>
      </c>
      <c r="AL15">
        <v>0</v>
      </c>
      <c r="AM15">
        <v>0</v>
      </c>
      <c r="AN15">
        <v>77.641000000000005</v>
      </c>
      <c r="AO15">
        <v>28.52044444444444</v>
      </c>
      <c r="AP15">
        <v>0.76666666666666661</v>
      </c>
      <c r="AQ15" t="s">
        <v>20</v>
      </c>
      <c r="AR15" s="100">
        <v>0.88800000000000001</v>
      </c>
      <c r="AS15" s="100" t="s">
        <v>975</v>
      </c>
      <c r="AT15" s="100">
        <v>0.76</v>
      </c>
    </row>
    <row r="16" spans="1:46" x14ac:dyDescent="0.35">
      <c r="A16" t="s">
        <v>314</v>
      </c>
      <c r="B16" t="s">
        <v>186</v>
      </c>
      <c r="C16" s="20">
        <v>46039.668645833335</v>
      </c>
      <c r="D16">
        <v>54</v>
      </c>
      <c r="E16">
        <v>1.4</v>
      </c>
      <c r="F16">
        <v>55.4</v>
      </c>
      <c r="G16">
        <v>52</v>
      </c>
      <c r="H16">
        <v>6.2962962962962941</v>
      </c>
      <c r="I16" t="s">
        <v>303</v>
      </c>
      <c r="J16">
        <v>23.3</v>
      </c>
      <c r="K16">
        <v>397</v>
      </c>
      <c r="L16">
        <v>64</v>
      </c>
      <c r="M16">
        <v>67</v>
      </c>
      <c r="N16">
        <v>2573</v>
      </c>
      <c r="O16">
        <v>95.9</v>
      </c>
      <c r="P16">
        <v>0.22</v>
      </c>
      <c r="Q16">
        <v>15</v>
      </c>
      <c r="R16">
        <v>1</v>
      </c>
      <c r="S16">
        <v>0.97480000000000011</v>
      </c>
      <c r="T16">
        <v>1</v>
      </c>
      <c r="U16">
        <v>50.7</v>
      </c>
      <c r="V16">
        <v>-1.5</v>
      </c>
      <c r="W16">
        <v>0.76700000000000002</v>
      </c>
      <c r="X16">
        <v>0</v>
      </c>
      <c r="Y16">
        <v>2970</v>
      </c>
      <c r="Z16">
        <v>87.268555555555551</v>
      </c>
      <c r="AA16">
        <v>3</v>
      </c>
      <c r="AB16">
        <v>0.82</v>
      </c>
      <c r="AC16">
        <v>16</v>
      </c>
      <c r="AD16">
        <v>7</v>
      </c>
      <c r="AE16">
        <v>15</v>
      </c>
      <c r="AF16">
        <v>0.5</v>
      </c>
      <c r="AG16">
        <v>0</v>
      </c>
      <c r="AH16" t="s">
        <v>302</v>
      </c>
      <c r="AI16">
        <v>0</v>
      </c>
      <c r="AJ16">
        <v>0.3</v>
      </c>
      <c r="AK16">
        <v>0.7</v>
      </c>
      <c r="AL16">
        <v>0</v>
      </c>
      <c r="AM16">
        <v>0</v>
      </c>
      <c r="AN16">
        <v>75.820999999999998</v>
      </c>
      <c r="AO16">
        <v>27.684577777777779</v>
      </c>
      <c r="AP16">
        <v>0.84444444444444444</v>
      </c>
      <c r="AQ16" t="s">
        <v>20</v>
      </c>
      <c r="AR16" s="100">
        <v>0.87</v>
      </c>
      <c r="AS16" s="100" t="s">
        <v>975</v>
      </c>
      <c r="AT16" s="100">
        <v>0.623</v>
      </c>
    </row>
    <row r="17" spans="1:46" x14ac:dyDescent="0.35">
      <c r="A17" t="s">
        <v>315</v>
      </c>
      <c r="B17" t="s">
        <v>186</v>
      </c>
      <c r="C17" s="20">
        <v>46039.668645833335</v>
      </c>
      <c r="D17">
        <v>52.8</v>
      </c>
      <c r="E17">
        <v>1</v>
      </c>
      <c r="F17">
        <v>56.3</v>
      </c>
      <c r="G17">
        <v>49.6</v>
      </c>
      <c r="H17">
        <v>12.689393939393932</v>
      </c>
      <c r="I17" t="s">
        <v>303</v>
      </c>
      <c r="J17">
        <v>21.9</v>
      </c>
      <c r="K17">
        <v>385</v>
      </c>
      <c r="L17">
        <v>114</v>
      </c>
      <c r="M17">
        <v>89</v>
      </c>
      <c r="N17">
        <v>2573</v>
      </c>
      <c r="O17">
        <v>98.5</v>
      </c>
      <c r="P17">
        <v>1.04</v>
      </c>
      <c r="Q17">
        <v>74</v>
      </c>
      <c r="R17">
        <v>18</v>
      </c>
      <c r="S17">
        <v>0.95240000000000002</v>
      </c>
      <c r="T17">
        <v>1</v>
      </c>
      <c r="U17">
        <v>259.16000000000003</v>
      </c>
      <c r="V17">
        <v>3.9</v>
      </c>
      <c r="W17">
        <v>0.78100000000000003</v>
      </c>
      <c r="X17">
        <v>1</v>
      </c>
      <c r="Y17">
        <v>2712</v>
      </c>
      <c r="Z17">
        <v>87.202611111111111</v>
      </c>
      <c r="AA17">
        <v>1</v>
      </c>
      <c r="AB17">
        <v>0.94</v>
      </c>
      <c r="AC17">
        <v>16</v>
      </c>
      <c r="AD17">
        <v>7</v>
      </c>
      <c r="AE17">
        <v>16</v>
      </c>
      <c r="AF17">
        <v>0.5</v>
      </c>
      <c r="AG17">
        <v>0</v>
      </c>
      <c r="AH17" t="s">
        <v>302</v>
      </c>
      <c r="AI17">
        <v>0</v>
      </c>
      <c r="AJ17">
        <v>0.3</v>
      </c>
      <c r="AK17">
        <v>0.7</v>
      </c>
      <c r="AL17">
        <v>0</v>
      </c>
      <c r="AM17">
        <v>0</v>
      </c>
      <c r="AN17">
        <v>78.022999999999996</v>
      </c>
      <c r="AO17">
        <v>26.214955555555555</v>
      </c>
      <c r="AP17">
        <v>0.85</v>
      </c>
      <c r="AQ17" t="s">
        <v>20</v>
      </c>
      <c r="AR17" s="100">
        <v>0.89300000000000002</v>
      </c>
      <c r="AS17" s="100" t="s">
        <v>975</v>
      </c>
      <c r="AT17" s="100">
        <v>0.73199999999999998</v>
      </c>
    </row>
    <row r="18" spans="1:46" x14ac:dyDescent="0.35">
      <c r="A18" t="s">
        <v>316</v>
      </c>
      <c r="B18" t="s">
        <v>186</v>
      </c>
      <c r="C18" s="20">
        <v>46039.668645833335</v>
      </c>
      <c r="D18">
        <v>42.1</v>
      </c>
      <c r="E18">
        <v>1.6</v>
      </c>
      <c r="F18">
        <v>44.3</v>
      </c>
      <c r="G18">
        <v>39</v>
      </c>
      <c r="H18">
        <v>12.589073634204269</v>
      </c>
      <c r="I18" t="s">
        <v>303</v>
      </c>
      <c r="J18">
        <v>17.100000000000001</v>
      </c>
      <c r="K18">
        <v>418</v>
      </c>
      <c r="L18">
        <v>112</v>
      </c>
      <c r="M18">
        <v>91</v>
      </c>
      <c r="N18">
        <v>2573</v>
      </c>
      <c r="O18">
        <v>98.9</v>
      </c>
      <c r="P18">
        <v>1.25</v>
      </c>
      <c r="Q18">
        <v>84</v>
      </c>
      <c r="R18">
        <v>10</v>
      </c>
      <c r="S18">
        <v>0.94560000000000011</v>
      </c>
      <c r="T18">
        <v>1</v>
      </c>
      <c r="U18">
        <v>177.86</v>
      </c>
      <c r="V18">
        <v>1.2</v>
      </c>
      <c r="W18">
        <v>0.82899999999999996</v>
      </c>
      <c r="X18">
        <v>1</v>
      </c>
      <c r="Y18">
        <v>4182</v>
      </c>
      <c r="Z18">
        <v>87.268555555555551</v>
      </c>
      <c r="AA18">
        <v>2</v>
      </c>
      <c r="AB18">
        <v>0.93</v>
      </c>
      <c r="AC18">
        <v>16</v>
      </c>
      <c r="AD18">
        <v>7</v>
      </c>
      <c r="AE18">
        <v>17</v>
      </c>
      <c r="AF18">
        <v>0.5</v>
      </c>
      <c r="AG18">
        <v>0</v>
      </c>
      <c r="AH18" t="s">
        <v>302</v>
      </c>
      <c r="AI18">
        <v>0</v>
      </c>
      <c r="AJ18">
        <v>0.3</v>
      </c>
      <c r="AK18">
        <v>0.7</v>
      </c>
      <c r="AL18">
        <v>0</v>
      </c>
      <c r="AM18">
        <v>0</v>
      </c>
      <c r="AN18">
        <v>76.436999999999998</v>
      </c>
      <c r="AO18">
        <v>30.216577777777779</v>
      </c>
      <c r="AP18">
        <v>0.86111111111111105</v>
      </c>
      <c r="AQ18" t="s">
        <v>20</v>
      </c>
      <c r="AR18" s="100">
        <v>0.88100000000000001</v>
      </c>
      <c r="AS18" s="100" t="s">
        <v>975</v>
      </c>
      <c r="AT18" s="100">
        <v>0.71499999999999997</v>
      </c>
    </row>
    <row r="19" spans="1:46" x14ac:dyDescent="0.35">
      <c r="A19" t="s">
        <v>317</v>
      </c>
      <c r="B19" t="s">
        <v>186</v>
      </c>
      <c r="C19" s="20">
        <v>46039.668645833335</v>
      </c>
      <c r="D19">
        <v>51.6</v>
      </c>
      <c r="E19">
        <v>1.3</v>
      </c>
      <c r="F19">
        <v>55.4</v>
      </c>
      <c r="G19">
        <v>49.5</v>
      </c>
      <c r="H19">
        <v>11.43410852713178</v>
      </c>
      <c r="I19" t="s">
        <v>303</v>
      </c>
      <c r="J19">
        <v>23.8</v>
      </c>
      <c r="K19">
        <v>412</v>
      </c>
      <c r="L19">
        <v>104</v>
      </c>
      <c r="M19">
        <v>218</v>
      </c>
      <c r="N19">
        <v>2573</v>
      </c>
      <c r="O19">
        <v>97.3</v>
      </c>
      <c r="P19">
        <v>0.34</v>
      </c>
      <c r="Q19">
        <v>45</v>
      </c>
      <c r="R19">
        <v>14</v>
      </c>
      <c r="S19">
        <v>0.97560000000000002</v>
      </c>
      <c r="T19">
        <v>1</v>
      </c>
      <c r="U19">
        <v>104.15</v>
      </c>
      <c r="V19">
        <v>4</v>
      </c>
      <c r="W19">
        <v>0.76200000000000001</v>
      </c>
      <c r="X19">
        <v>0</v>
      </c>
      <c r="Y19">
        <v>3775</v>
      </c>
      <c r="Z19">
        <v>89.371833333333342</v>
      </c>
      <c r="AA19">
        <v>2</v>
      </c>
      <c r="AB19">
        <v>0.88</v>
      </c>
      <c r="AC19">
        <v>16</v>
      </c>
      <c r="AD19">
        <v>7</v>
      </c>
      <c r="AE19">
        <v>18</v>
      </c>
      <c r="AF19">
        <v>0.5</v>
      </c>
      <c r="AG19">
        <v>0</v>
      </c>
      <c r="AH19" t="s">
        <v>302</v>
      </c>
      <c r="AI19">
        <v>0</v>
      </c>
      <c r="AJ19">
        <v>0.3</v>
      </c>
      <c r="AK19">
        <v>0.7</v>
      </c>
      <c r="AL19">
        <v>0</v>
      </c>
      <c r="AM19">
        <v>0</v>
      </c>
      <c r="AN19">
        <v>77.462000000000003</v>
      </c>
      <c r="AO19">
        <v>30.93526666666666</v>
      </c>
      <c r="AP19">
        <v>0.95</v>
      </c>
      <c r="AQ19" t="s">
        <v>20</v>
      </c>
      <c r="AR19" s="100">
        <v>0.88400000000000001</v>
      </c>
      <c r="AS19" s="100" t="s">
        <v>975</v>
      </c>
      <c r="AT19" s="100">
        <v>0.69499999999999995</v>
      </c>
    </row>
    <row r="20" spans="1:46" x14ac:dyDescent="0.35">
      <c r="A20" t="s">
        <v>318</v>
      </c>
      <c r="B20" t="s">
        <v>186</v>
      </c>
      <c r="C20" s="20">
        <v>46039.668645833335</v>
      </c>
      <c r="D20">
        <v>43.6</v>
      </c>
      <c r="E20">
        <v>2.2000000000000002</v>
      </c>
      <c r="F20">
        <v>45.7</v>
      </c>
      <c r="G20">
        <v>41.3</v>
      </c>
      <c r="H20">
        <v>10.091743119266068</v>
      </c>
      <c r="I20" t="s">
        <v>303</v>
      </c>
      <c r="J20">
        <v>13.9</v>
      </c>
      <c r="K20">
        <v>154</v>
      </c>
      <c r="L20">
        <v>95</v>
      </c>
      <c r="M20">
        <v>108</v>
      </c>
      <c r="N20">
        <v>2573</v>
      </c>
      <c r="O20">
        <v>96</v>
      </c>
      <c r="P20">
        <v>1.46</v>
      </c>
      <c r="Q20">
        <v>68</v>
      </c>
      <c r="R20">
        <v>16</v>
      </c>
      <c r="S20">
        <v>0.92560000000000009</v>
      </c>
      <c r="T20">
        <v>1</v>
      </c>
      <c r="U20">
        <v>299.48</v>
      </c>
      <c r="V20">
        <v>0.3</v>
      </c>
      <c r="W20">
        <v>0.86099999999999999</v>
      </c>
      <c r="X20">
        <v>1</v>
      </c>
      <c r="Y20">
        <v>1827</v>
      </c>
      <c r="Z20">
        <v>88.325611111111115</v>
      </c>
      <c r="AA20">
        <v>0</v>
      </c>
      <c r="AB20">
        <v>0.89</v>
      </c>
      <c r="AC20">
        <v>16</v>
      </c>
      <c r="AD20">
        <v>7</v>
      </c>
      <c r="AE20">
        <v>19</v>
      </c>
      <c r="AF20">
        <v>0.5</v>
      </c>
      <c r="AG20">
        <v>0</v>
      </c>
      <c r="AH20" t="s">
        <v>302</v>
      </c>
      <c r="AI20">
        <v>0</v>
      </c>
      <c r="AJ20">
        <v>0.3</v>
      </c>
      <c r="AK20">
        <v>0.7</v>
      </c>
      <c r="AL20">
        <v>0</v>
      </c>
      <c r="AM20">
        <v>0</v>
      </c>
      <c r="AN20">
        <v>74.236999999999995</v>
      </c>
      <c r="AO20">
        <v>34.033755555555551</v>
      </c>
      <c r="AP20">
        <v>0.99444444444444435</v>
      </c>
      <c r="AQ20" t="s">
        <v>20</v>
      </c>
      <c r="AR20" s="100">
        <v>0.85799999999999998</v>
      </c>
      <c r="AS20" s="100" t="s">
        <v>975</v>
      </c>
      <c r="AT20" s="100">
        <v>0.67500000000000004</v>
      </c>
    </row>
    <row r="21" spans="1:46" x14ac:dyDescent="0.35">
      <c r="A21" t="s">
        <v>319</v>
      </c>
      <c r="B21" t="s">
        <v>186</v>
      </c>
      <c r="C21" s="20">
        <v>46039.668645833335</v>
      </c>
      <c r="D21">
        <v>48</v>
      </c>
      <c r="E21">
        <v>2.2999999999999998</v>
      </c>
      <c r="F21">
        <v>52.8</v>
      </c>
      <c r="G21">
        <v>43.1</v>
      </c>
      <c r="H21">
        <v>20.208333333333325</v>
      </c>
      <c r="I21" t="s">
        <v>303</v>
      </c>
      <c r="J21">
        <v>14.8</v>
      </c>
      <c r="K21">
        <v>310</v>
      </c>
      <c r="L21">
        <v>101</v>
      </c>
      <c r="M21">
        <v>191</v>
      </c>
      <c r="N21">
        <v>2573</v>
      </c>
      <c r="O21">
        <v>96.3</v>
      </c>
      <c r="P21">
        <v>0.33</v>
      </c>
      <c r="Q21">
        <v>72</v>
      </c>
      <c r="R21">
        <v>8</v>
      </c>
      <c r="S21">
        <v>0.97200000000000009</v>
      </c>
      <c r="T21">
        <v>1</v>
      </c>
      <c r="U21">
        <v>204.28</v>
      </c>
      <c r="V21">
        <v>-3.3</v>
      </c>
      <c r="W21">
        <v>0.85199999999999998</v>
      </c>
      <c r="X21">
        <v>0</v>
      </c>
      <c r="Y21">
        <v>1704</v>
      </c>
      <c r="Z21">
        <v>87.898777777777781</v>
      </c>
      <c r="AA21">
        <v>0</v>
      </c>
      <c r="AB21">
        <v>0.87</v>
      </c>
      <c r="AC21">
        <v>16</v>
      </c>
      <c r="AD21">
        <v>7</v>
      </c>
      <c r="AE21">
        <v>20</v>
      </c>
      <c r="AF21">
        <v>0.5</v>
      </c>
      <c r="AG21">
        <v>0</v>
      </c>
      <c r="AH21" t="s">
        <v>302</v>
      </c>
      <c r="AI21">
        <v>0</v>
      </c>
      <c r="AJ21">
        <v>0.3</v>
      </c>
      <c r="AK21">
        <v>0.7</v>
      </c>
      <c r="AL21">
        <v>0</v>
      </c>
      <c r="AM21">
        <v>0</v>
      </c>
      <c r="AN21">
        <v>74.89</v>
      </c>
      <c r="AO21">
        <v>33.660488888888892</v>
      </c>
      <c r="AP21">
        <v>0.83333333333333326</v>
      </c>
      <c r="AQ21" t="s">
        <v>20</v>
      </c>
      <c r="AR21" s="100">
        <v>0.86599999999999999</v>
      </c>
      <c r="AS21" s="100" t="s">
        <v>975</v>
      </c>
      <c r="AT21" s="100">
        <v>0.66200000000000003</v>
      </c>
    </row>
    <row r="22" spans="1:46" x14ac:dyDescent="0.35">
      <c r="A22" t="s">
        <v>320</v>
      </c>
      <c r="B22" t="s">
        <v>186</v>
      </c>
      <c r="C22" s="20">
        <v>46039.668645833335</v>
      </c>
      <c r="D22">
        <v>42.3</v>
      </c>
      <c r="E22">
        <v>1.1000000000000001</v>
      </c>
      <c r="F22">
        <v>46.5</v>
      </c>
      <c r="G22">
        <v>38.1</v>
      </c>
      <c r="H22">
        <v>19.858156028368793</v>
      </c>
      <c r="I22" t="s">
        <v>303</v>
      </c>
      <c r="J22">
        <v>16</v>
      </c>
      <c r="K22">
        <v>211</v>
      </c>
      <c r="L22">
        <v>100</v>
      </c>
      <c r="M22">
        <v>161</v>
      </c>
      <c r="N22">
        <v>2573</v>
      </c>
      <c r="O22">
        <v>96</v>
      </c>
      <c r="P22">
        <v>1.1200000000000001</v>
      </c>
      <c r="Q22">
        <v>54</v>
      </c>
      <c r="R22">
        <v>4</v>
      </c>
      <c r="S22">
        <v>0.93920000000000003</v>
      </c>
      <c r="T22">
        <v>1</v>
      </c>
      <c r="U22">
        <v>215.25</v>
      </c>
      <c r="V22">
        <v>5</v>
      </c>
      <c r="W22">
        <v>0.84</v>
      </c>
      <c r="X22">
        <v>1</v>
      </c>
      <c r="Y22">
        <v>1009</v>
      </c>
      <c r="Z22">
        <v>92.128888888888895</v>
      </c>
      <c r="AA22">
        <v>3</v>
      </c>
      <c r="AB22">
        <v>0.8</v>
      </c>
      <c r="AC22">
        <v>16</v>
      </c>
      <c r="AD22">
        <v>7</v>
      </c>
      <c r="AE22">
        <v>21</v>
      </c>
      <c r="AF22">
        <v>0.5</v>
      </c>
      <c r="AG22">
        <v>0</v>
      </c>
      <c r="AH22" t="s">
        <v>302</v>
      </c>
      <c r="AI22">
        <v>0</v>
      </c>
      <c r="AJ22">
        <v>0.3</v>
      </c>
      <c r="AK22">
        <v>0.7</v>
      </c>
      <c r="AL22">
        <v>0</v>
      </c>
      <c r="AM22">
        <v>0</v>
      </c>
      <c r="AN22">
        <v>72.784000000000006</v>
      </c>
      <c r="AO22">
        <v>26.056444444444441</v>
      </c>
      <c r="AP22">
        <v>0.94444444444444442</v>
      </c>
      <c r="AQ22" t="s">
        <v>20</v>
      </c>
      <c r="AR22" s="100">
        <v>0.85899999999999999</v>
      </c>
      <c r="AS22" s="100" t="s">
        <v>975</v>
      </c>
      <c r="AT22" s="100">
        <v>0.63300000000000001</v>
      </c>
    </row>
    <row r="23" spans="1:46" x14ac:dyDescent="0.35">
      <c r="A23" t="s">
        <v>321</v>
      </c>
      <c r="B23" t="s">
        <v>186</v>
      </c>
      <c r="C23" s="20">
        <v>46039.668645833335</v>
      </c>
      <c r="D23">
        <v>55.5</v>
      </c>
      <c r="E23">
        <v>0.8</v>
      </c>
      <c r="F23">
        <v>58.2</v>
      </c>
      <c r="G23">
        <v>54.2</v>
      </c>
      <c r="H23">
        <v>7.2072072072072073</v>
      </c>
      <c r="I23" t="s">
        <v>303</v>
      </c>
      <c r="J23">
        <v>15.2</v>
      </c>
      <c r="K23">
        <v>210</v>
      </c>
      <c r="L23">
        <v>116</v>
      </c>
      <c r="M23">
        <v>183</v>
      </c>
      <c r="N23">
        <v>2573</v>
      </c>
      <c r="O23">
        <v>98.6</v>
      </c>
      <c r="P23">
        <v>0.59</v>
      </c>
      <c r="Q23">
        <v>97</v>
      </c>
      <c r="R23">
        <v>13</v>
      </c>
      <c r="S23">
        <v>0.9708</v>
      </c>
      <c r="T23">
        <v>1</v>
      </c>
      <c r="U23">
        <v>275.26</v>
      </c>
      <c r="V23">
        <v>1.3</v>
      </c>
      <c r="W23">
        <v>0.84799999999999998</v>
      </c>
      <c r="X23">
        <v>1</v>
      </c>
      <c r="Y23">
        <v>1920</v>
      </c>
      <c r="Z23">
        <v>89.371833333333342</v>
      </c>
      <c r="AA23">
        <v>5</v>
      </c>
      <c r="AB23">
        <v>0.72</v>
      </c>
      <c r="AC23">
        <v>16</v>
      </c>
      <c r="AD23">
        <v>7</v>
      </c>
      <c r="AE23">
        <v>22</v>
      </c>
      <c r="AF23">
        <v>0.5</v>
      </c>
      <c r="AG23">
        <v>0</v>
      </c>
      <c r="AH23" t="s">
        <v>302</v>
      </c>
      <c r="AI23">
        <v>0</v>
      </c>
      <c r="AJ23">
        <v>0.3</v>
      </c>
      <c r="AK23">
        <v>0.7</v>
      </c>
      <c r="AL23">
        <v>0</v>
      </c>
      <c r="AM23">
        <v>0</v>
      </c>
      <c r="AN23">
        <v>71.216000000000008</v>
      </c>
      <c r="AO23">
        <v>25.503266666666665</v>
      </c>
      <c r="AP23">
        <v>0.77777777777777768</v>
      </c>
      <c r="AQ23" t="s">
        <v>20</v>
      </c>
      <c r="AR23" s="100">
        <v>0.85499999999999998</v>
      </c>
      <c r="AS23" s="100" t="s">
        <v>975</v>
      </c>
      <c r="AT23" s="100">
        <v>0.55000000000000004</v>
      </c>
    </row>
    <row r="24" spans="1:46" x14ac:dyDescent="0.35">
      <c r="A24" t="s">
        <v>322</v>
      </c>
      <c r="B24" t="s">
        <v>186</v>
      </c>
      <c r="C24" s="20">
        <v>46039.668645833335</v>
      </c>
      <c r="D24">
        <v>52.8</v>
      </c>
      <c r="E24">
        <v>2.4</v>
      </c>
      <c r="F24">
        <v>54.9</v>
      </c>
      <c r="G24">
        <v>51.5</v>
      </c>
      <c r="H24">
        <v>6.4393939393939368</v>
      </c>
      <c r="I24" t="s">
        <v>303</v>
      </c>
      <c r="J24">
        <v>20.3</v>
      </c>
      <c r="K24">
        <v>395</v>
      </c>
      <c r="L24">
        <v>72</v>
      </c>
      <c r="M24">
        <v>134</v>
      </c>
      <c r="N24">
        <v>2573</v>
      </c>
      <c r="O24">
        <v>98.2</v>
      </c>
      <c r="P24">
        <v>0.95</v>
      </c>
      <c r="Q24">
        <v>29</v>
      </c>
      <c r="R24">
        <v>14</v>
      </c>
      <c r="S24">
        <v>0.95480000000000009</v>
      </c>
      <c r="T24">
        <v>1</v>
      </c>
      <c r="U24">
        <v>294.05</v>
      </c>
      <c r="V24">
        <v>4</v>
      </c>
      <c r="W24">
        <v>0.79700000000000004</v>
      </c>
      <c r="X24">
        <v>0</v>
      </c>
      <c r="Y24">
        <v>2727</v>
      </c>
      <c r="Z24">
        <v>92.128888888888895</v>
      </c>
      <c r="AA24">
        <v>5</v>
      </c>
      <c r="AB24">
        <v>0.71</v>
      </c>
      <c r="AC24">
        <v>16</v>
      </c>
      <c r="AD24">
        <v>7</v>
      </c>
      <c r="AE24">
        <v>23</v>
      </c>
      <c r="AF24">
        <v>0.5</v>
      </c>
      <c r="AG24">
        <v>0</v>
      </c>
      <c r="AH24" t="s">
        <v>302</v>
      </c>
      <c r="AI24">
        <v>0</v>
      </c>
      <c r="AJ24">
        <v>0.3</v>
      </c>
      <c r="AK24">
        <v>0.7</v>
      </c>
      <c r="AL24">
        <v>0</v>
      </c>
      <c r="AM24">
        <v>0</v>
      </c>
      <c r="AN24">
        <v>71.921000000000006</v>
      </c>
      <c r="AO24">
        <v>36.540444444444439</v>
      </c>
      <c r="AP24">
        <v>0.98333333333333328</v>
      </c>
      <c r="AQ24" t="s">
        <v>20</v>
      </c>
      <c r="AR24" s="100">
        <v>0.82099999999999995</v>
      </c>
      <c r="AS24" s="100" t="s">
        <v>975</v>
      </c>
      <c r="AT24" s="100">
        <v>0.53700000000000003</v>
      </c>
    </row>
    <row r="25" spans="1:46" x14ac:dyDescent="0.35">
      <c r="A25" t="s">
        <v>323</v>
      </c>
      <c r="B25" t="s">
        <v>186</v>
      </c>
      <c r="C25" s="20">
        <v>46039.668645833335</v>
      </c>
      <c r="D25">
        <v>42.5</v>
      </c>
      <c r="E25">
        <v>1.5</v>
      </c>
      <c r="F25">
        <v>47.2</v>
      </c>
      <c r="G25">
        <v>37.5</v>
      </c>
      <c r="H25">
        <v>22.823529411764714</v>
      </c>
      <c r="I25" t="s">
        <v>303</v>
      </c>
      <c r="J25">
        <v>13.9</v>
      </c>
      <c r="K25">
        <v>219</v>
      </c>
      <c r="L25">
        <v>112</v>
      </c>
      <c r="M25">
        <v>198</v>
      </c>
      <c r="N25">
        <v>2573</v>
      </c>
      <c r="O25">
        <v>96.6</v>
      </c>
      <c r="P25">
        <v>1.21</v>
      </c>
      <c r="Q25">
        <v>25</v>
      </c>
      <c r="R25">
        <v>4</v>
      </c>
      <c r="S25">
        <v>0.93800000000000006</v>
      </c>
      <c r="T25">
        <v>1</v>
      </c>
      <c r="U25">
        <v>223.8</v>
      </c>
      <c r="V25">
        <v>2.4</v>
      </c>
      <c r="W25">
        <v>0.86099999999999999</v>
      </c>
      <c r="X25">
        <v>1</v>
      </c>
      <c r="Y25">
        <v>1894</v>
      </c>
      <c r="Z25">
        <v>87.898777777777781</v>
      </c>
      <c r="AA25">
        <v>3</v>
      </c>
      <c r="AB25">
        <v>0.72</v>
      </c>
      <c r="AC25">
        <v>16</v>
      </c>
      <c r="AD25">
        <v>7</v>
      </c>
      <c r="AE25">
        <v>24</v>
      </c>
      <c r="AF25">
        <v>0.5</v>
      </c>
      <c r="AG25">
        <v>0</v>
      </c>
      <c r="AH25" t="s">
        <v>302</v>
      </c>
      <c r="AI25">
        <v>0</v>
      </c>
      <c r="AJ25">
        <v>0.3</v>
      </c>
      <c r="AK25">
        <v>0.7</v>
      </c>
      <c r="AL25">
        <v>0</v>
      </c>
      <c r="AM25">
        <v>0</v>
      </c>
      <c r="AN25">
        <v>70.234999999999999</v>
      </c>
      <c r="AO25">
        <v>30.680488888888888</v>
      </c>
      <c r="AP25">
        <v>0.91666666666666663</v>
      </c>
      <c r="AQ25" t="s">
        <v>20</v>
      </c>
      <c r="AR25" s="100">
        <v>0.83299999999999996</v>
      </c>
      <c r="AS25" s="100" t="s">
        <v>975</v>
      </c>
      <c r="AT25" s="100">
        <v>0.52700000000000002</v>
      </c>
    </row>
    <row r="26" spans="1:46" x14ac:dyDescent="0.35">
      <c r="A26" t="s">
        <v>324</v>
      </c>
      <c r="B26" t="s">
        <v>186</v>
      </c>
      <c r="C26" s="20">
        <v>46039.668645833335</v>
      </c>
      <c r="D26">
        <v>56.4</v>
      </c>
      <c r="E26">
        <v>1.7</v>
      </c>
      <c r="F26">
        <v>57.8</v>
      </c>
      <c r="G26">
        <v>51.4</v>
      </c>
      <c r="H26">
        <v>11.347517730496453</v>
      </c>
      <c r="I26" t="s">
        <v>303</v>
      </c>
      <c r="J26">
        <v>13.8</v>
      </c>
      <c r="K26">
        <v>324</v>
      </c>
      <c r="L26">
        <v>84</v>
      </c>
      <c r="M26">
        <v>187</v>
      </c>
      <c r="N26">
        <v>2573</v>
      </c>
      <c r="O26">
        <v>99.7</v>
      </c>
      <c r="P26">
        <v>0.83</v>
      </c>
      <c r="Q26">
        <v>88</v>
      </c>
      <c r="R26">
        <v>21</v>
      </c>
      <c r="S26">
        <v>0.96560000000000001</v>
      </c>
      <c r="T26">
        <v>1</v>
      </c>
      <c r="U26">
        <v>143.16999999999999</v>
      </c>
      <c r="V26">
        <v>-1.4</v>
      </c>
      <c r="W26">
        <v>0.86199999999999999</v>
      </c>
      <c r="X26">
        <v>1</v>
      </c>
      <c r="Y26">
        <v>4223</v>
      </c>
      <c r="Z26">
        <v>89.371833333333342</v>
      </c>
      <c r="AA26">
        <v>2</v>
      </c>
      <c r="AB26">
        <v>0.76</v>
      </c>
      <c r="AC26">
        <v>16</v>
      </c>
      <c r="AD26">
        <v>7</v>
      </c>
      <c r="AE26">
        <v>25</v>
      </c>
      <c r="AF26">
        <v>0.5</v>
      </c>
      <c r="AG26">
        <v>0</v>
      </c>
      <c r="AH26" t="s">
        <v>302</v>
      </c>
      <c r="AI26">
        <v>0</v>
      </c>
      <c r="AJ26">
        <v>0.3</v>
      </c>
      <c r="AK26">
        <v>0.7</v>
      </c>
      <c r="AL26">
        <v>0</v>
      </c>
      <c r="AM26">
        <v>0</v>
      </c>
      <c r="AN26">
        <v>71.762</v>
      </c>
      <c r="AO26">
        <v>30.835266666666662</v>
      </c>
      <c r="AP26">
        <v>0.8388888888888888</v>
      </c>
      <c r="AQ26" t="s">
        <v>20</v>
      </c>
      <c r="AR26" s="100">
        <v>0.84799999999999998</v>
      </c>
      <c r="AS26" s="100" t="s">
        <v>975</v>
      </c>
      <c r="AT26" s="100">
        <v>0.57599999999999996</v>
      </c>
    </row>
    <row r="27" spans="1:46" x14ac:dyDescent="0.35">
      <c r="A27" t="s">
        <v>325</v>
      </c>
      <c r="B27" t="s">
        <v>186</v>
      </c>
      <c r="C27" s="20">
        <v>46039.668645833335</v>
      </c>
      <c r="D27">
        <v>45.1</v>
      </c>
      <c r="E27">
        <v>1.6</v>
      </c>
      <c r="F27">
        <v>46.3</v>
      </c>
      <c r="G27">
        <v>43.1</v>
      </c>
      <c r="H27">
        <v>7.0953436807095249</v>
      </c>
      <c r="I27" t="s">
        <v>303</v>
      </c>
      <c r="J27">
        <v>22.2</v>
      </c>
      <c r="K27">
        <v>220</v>
      </c>
      <c r="L27">
        <v>72</v>
      </c>
      <c r="M27">
        <v>198</v>
      </c>
      <c r="N27">
        <v>2573</v>
      </c>
      <c r="O27">
        <v>95.4</v>
      </c>
      <c r="P27">
        <v>1.21</v>
      </c>
      <c r="Q27">
        <v>69</v>
      </c>
      <c r="R27">
        <v>8</v>
      </c>
      <c r="S27">
        <v>0.93320000000000003</v>
      </c>
      <c r="T27">
        <v>1</v>
      </c>
      <c r="U27">
        <v>256.02999999999997</v>
      </c>
      <c r="V27">
        <v>1.3</v>
      </c>
      <c r="W27">
        <v>0.77800000000000002</v>
      </c>
      <c r="X27">
        <v>0</v>
      </c>
      <c r="Y27">
        <v>4260</v>
      </c>
      <c r="Z27">
        <v>87.202611111111111</v>
      </c>
      <c r="AA27">
        <v>2</v>
      </c>
      <c r="AB27">
        <v>0.88</v>
      </c>
      <c r="AC27">
        <v>16</v>
      </c>
      <c r="AD27">
        <v>7</v>
      </c>
      <c r="AE27">
        <v>26</v>
      </c>
      <c r="AF27">
        <v>0.5</v>
      </c>
      <c r="AG27">
        <v>0</v>
      </c>
      <c r="AH27" t="s">
        <v>302</v>
      </c>
      <c r="AI27">
        <v>0</v>
      </c>
      <c r="AJ27">
        <v>0.3</v>
      </c>
      <c r="AK27">
        <v>0.7</v>
      </c>
      <c r="AL27">
        <v>0</v>
      </c>
      <c r="AM27">
        <v>0</v>
      </c>
      <c r="AN27">
        <v>76.213999999999999</v>
      </c>
      <c r="AO27">
        <v>31.546955555555552</v>
      </c>
      <c r="AP27">
        <v>0.83333333333333326</v>
      </c>
      <c r="AQ27" t="s">
        <v>20</v>
      </c>
      <c r="AR27" s="100">
        <v>0.86899999999999999</v>
      </c>
      <c r="AS27" s="100" t="s">
        <v>975</v>
      </c>
      <c r="AT27" s="100">
        <v>0.66700000000000004</v>
      </c>
    </row>
    <row r="28" spans="1:46" x14ac:dyDescent="0.35">
      <c r="A28" t="s">
        <v>326</v>
      </c>
      <c r="B28" t="s">
        <v>186</v>
      </c>
      <c r="C28" s="20">
        <v>46039.668645833335</v>
      </c>
      <c r="D28">
        <v>40.200000000000003</v>
      </c>
      <c r="E28">
        <v>1.1000000000000001</v>
      </c>
      <c r="F28">
        <v>43.3</v>
      </c>
      <c r="G28">
        <v>37.4</v>
      </c>
      <c r="H28">
        <v>14.676616915422882</v>
      </c>
      <c r="I28" t="s">
        <v>303</v>
      </c>
      <c r="J28">
        <v>24.2</v>
      </c>
      <c r="K28">
        <v>319</v>
      </c>
      <c r="L28">
        <v>107</v>
      </c>
      <c r="M28">
        <v>62</v>
      </c>
      <c r="N28">
        <v>2573</v>
      </c>
      <c r="O28">
        <v>95.2</v>
      </c>
      <c r="P28">
        <v>0.92</v>
      </c>
      <c r="Q28">
        <v>10</v>
      </c>
      <c r="R28">
        <v>24</v>
      </c>
      <c r="S28">
        <v>0.94400000000000006</v>
      </c>
      <c r="T28">
        <v>1</v>
      </c>
      <c r="U28">
        <v>63.5</v>
      </c>
      <c r="V28">
        <v>-4.9000000000000004</v>
      </c>
      <c r="W28">
        <v>0.75800000000000001</v>
      </c>
      <c r="X28">
        <v>1</v>
      </c>
      <c r="Y28">
        <v>3847</v>
      </c>
      <c r="Z28">
        <v>89.371833333333342</v>
      </c>
      <c r="AA28">
        <v>6</v>
      </c>
      <c r="AB28">
        <v>0.77</v>
      </c>
      <c r="AC28">
        <v>16</v>
      </c>
      <c r="AD28">
        <v>7</v>
      </c>
      <c r="AE28">
        <v>27</v>
      </c>
      <c r="AF28">
        <v>0.5</v>
      </c>
      <c r="AG28">
        <v>0</v>
      </c>
      <c r="AH28" t="s">
        <v>302</v>
      </c>
      <c r="AI28">
        <v>0</v>
      </c>
      <c r="AJ28">
        <v>0.3</v>
      </c>
      <c r="AK28">
        <v>0.7</v>
      </c>
      <c r="AL28">
        <v>0</v>
      </c>
      <c r="AM28">
        <v>0</v>
      </c>
      <c r="AN28">
        <v>74.180000000000007</v>
      </c>
      <c r="AO28">
        <v>28.671266666666661</v>
      </c>
      <c r="AP28">
        <v>0.9277777777777777</v>
      </c>
      <c r="AQ28" t="s">
        <v>20</v>
      </c>
      <c r="AR28" s="100">
        <v>0.85599999999999998</v>
      </c>
      <c r="AS28" s="100" t="s">
        <v>975</v>
      </c>
      <c r="AT28" s="100">
        <v>0.58899999999999997</v>
      </c>
    </row>
    <row r="29" spans="1:46" x14ac:dyDescent="0.35">
      <c r="A29" t="s">
        <v>327</v>
      </c>
      <c r="B29" t="s">
        <v>186</v>
      </c>
      <c r="C29" s="20">
        <v>46039.668645833335</v>
      </c>
      <c r="D29">
        <v>57.6</v>
      </c>
      <c r="E29">
        <v>0.7</v>
      </c>
      <c r="F29">
        <v>61</v>
      </c>
      <c r="G29">
        <v>54.3</v>
      </c>
      <c r="H29">
        <v>11.63194444444445</v>
      </c>
      <c r="I29" t="s">
        <v>303</v>
      </c>
      <c r="J29">
        <v>22.1</v>
      </c>
      <c r="K29">
        <v>158</v>
      </c>
      <c r="L29">
        <v>119</v>
      </c>
      <c r="M29">
        <v>142</v>
      </c>
      <c r="N29">
        <v>2573</v>
      </c>
      <c r="O29">
        <v>97.3</v>
      </c>
      <c r="P29">
        <v>1.4</v>
      </c>
      <c r="Q29">
        <v>11</v>
      </c>
      <c r="R29">
        <v>11</v>
      </c>
      <c r="S29">
        <v>0.93320000000000003</v>
      </c>
      <c r="T29">
        <v>1</v>
      </c>
      <c r="U29">
        <v>191.86</v>
      </c>
      <c r="V29">
        <v>-3.3</v>
      </c>
      <c r="W29">
        <v>0.77900000000000003</v>
      </c>
      <c r="X29">
        <v>1</v>
      </c>
      <c r="Y29">
        <v>4900</v>
      </c>
      <c r="Z29">
        <v>87.202611111111111</v>
      </c>
      <c r="AA29">
        <v>1</v>
      </c>
      <c r="AB29">
        <v>0.72</v>
      </c>
      <c r="AC29">
        <v>16</v>
      </c>
      <c r="AD29">
        <v>7</v>
      </c>
      <c r="AE29">
        <v>28</v>
      </c>
      <c r="AF29">
        <v>0.5</v>
      </c>
      <c r="AG29">
        <v>0</v>
      </c>
      <c r="AH29" t="s">
        <v>302</v>
      </c>
      <c r="AI29">
        <v>0</v>
      </c>
      <c r="AJ29">
        <v>0.3</v>
      </c>
      <c r="AK29">
        <v>0.7</v>
      </c>
      <c r="AL29">
        <v>0</v>
      </c>
      <c r="AM29">
        <v>0</v>
      </c>
      <c r="AN29">
        <v>72.189000000000007</v>
      </c>
      <c r="AO29">
        <v>26.666955555555557</v>
      </c>
      <c r="AP29">
        <v>0.82222222222222219</v>
      </c>
      <c r="AQ29" t="s">
        <v>20</v>
      </c>
      <c r="AR29" s="100">
        <v>0.84699999999999998</v>
      </c>
      <c r="AS29" s="100" t="s">
        <v>975</v>
      </c>
      <c r="AT29" s="100">
        <v>0.53200000000000003</v>
      </c>
    </row>
    <row r="30" spans="1:46" x14ac:dyDescent="0.35">
      <c r="A30" t="s">
        <v>328</v>
      </c>
      <c r="B30" t="s">
        <v>186</v>
      </c>
      <c r="C30" s="20">
        <v>46039.668645833335</v>
      </c>
      <c r="D30">
        <v>53.7</v>
      </c>
      <c r="E30">
        <v>1.7</v>
      </c>
      <c r="F30">
        <v>56.4</v>
      </c>
      <c r="G30">
        <v>49.1</v>
      </c>
      <c r="H30">
        <v>13.594040968342638</v>
      </c>
      <c r="I30" t="s">
        <v>303</v>
      </c>
      <c r="J30">
        <v>10.5</v>
      </c>
      <c r="K30">
        <v>365</v>
      </c>
      <c r="L30">
        <v>97</v>
      </c>
      <c r="M30">
        <v>232</v>
      </c>
      <c r="N30">
        <v>2573</v>
      </c>
      <c r="O30">
        <v>99.8</v>
      </c>
      <c r="P30">
        <v>0.61</v>
      </c>
      <c r="Q30">
        <v>63</v>
      </c>
      <c r="R30">
        <v>17</v>
      </c>
      <c r="S30">
        <v>0.9748</v>
      </c>
      <c r="T30">
        <v>1</v>
      </c>
      <c r="U30">
        <v>80.84</v>
      </c>
      <c r="V30">
        <v>-4.3</v>
      </c>
      <c r="W30">
        <v>0.89500000000000002</v>
      </c>
      <c r="X30">
        <v>1</v>
      </c>
      <c r="Y30">
        <v>1221</v>
      </c>
      <c r="Z30">
        <v>92.128888888888895</v>
      </c>
      <c r="AA30">
        <v>0</v>
      </c>
      <c r="AB30">
        <v>0.71</v>
      </c>
      <c r="AC30">
        <v>16</v>
      </c>
      <c r="AD30">
        <v>7</v>
      </c>
      <c r="AE30">
        <v>29</v>
      </c>
      <c r="AF30">
        <v>0.5</v>
      </c>
      <c r="AG30">
        <v>0</v>
      </c>
      <c r="AH30" t="s">
        <v>302</v>
      </c>
      <c r="AI30">
        <v>0</v>
      </c>
      <c r="AJ30">
        <v>0.3</v>
      </c>
      <c r="AK30">
        <v>0.7</v>
      </c>
      <c r="AL30">
        <v>0</v>
      </c>
      <c r="AM30">
        <v>0</v>
      </c>
      <c r="AN30">
        <v>69.870999999999995</v>
      </c>
      <c r="AO30">
        <v>31.00044444444444</v>
      </c>
      <c r="AP30">
        <v>0.85555555555555551</v>
      </c>
      <c r="AQ30" t="s">
        <v>20</v>
      </c>
      <c r="AR30" s="100">
        <v>0.83799999999999997</v>
      </c>
      <c r="AS30" s="100" t="s">
        <v>975</v>
      </c>
      <c r="AT30" s="100">
        <v>0.54800000000000004</v>
      </c>
    </row>
    <row r="31" spans="1:46" x14ac:dyDescent="0.35">
      <c r="A31" t="s">
        <v>329</v>
      </c>
      <c r="B31" t="s">
        <v>186</v>
      </c>
      <c r="C31" s="20">
        <v>46039.668645833335</v>
      </c>
      <c r="D31">
        <v>41</v>
      </c>
      <c r="E31">
        <v>1.4</v>
      </c>
      <c r="F31">
        <v>44</v>
      </c>
      <c r="G31">
        <v>39.6</v>
      </c>
      <c r="H31">
        <v>10.731707317073168</v>
      </c>
      <c r="I31" t="s">
        <v>303</v>
      </c>
      <c r="J31">
        <v>24.1</v>
      </c>
      <c r="K31">
        <v>381</v>
      </c>
      <c r="L31">
        <v>74</v>
      </c>
      <c r="M31">
        <v>163</v>
      </c>
      <c r="N31">
        <v>2573</v>
      </c>
      <c r="O31">
        <v>96.3</v>
      </c>
      <c r="P31">
        <v>0.56999999999999995</v>
      </c>
      <c r="Q31">
        <v>21</v>
      </c>
      <c r="R31">
        <v>14</v>
      </c>
      <c r="S31">
        <v>0.96240000000000003</v>
      </c>
      <c r="T31">
        <v>1</v>
      </c>
      <c r="U31">
        <v>99</v>
      </c>
      <c r="V31">
        <v>0.2</v>
      </c>
      <c r="W31">
        <v>0.75900000000000001</v>
      </c>
      <c r="X31">
        <v>1</v>
      </c>
      <c r="Y31">
        <v>717</v>
      </c>
      <c r="Z31">
        <v>92.128888888888895</v>
      </c>
      <c r="AA31">
        <v>3</v>
      </c>
      <c r="AB31">
        <v>0.85</v>
      </c>
      <c r="AC31">
        <v>16</v>
      </c>
      <c r="AD31">
        <v>7</v>
      </c>
      <c r="AE31">
        <v>30</v>
      </c>
      <c r="AF31">
        <v>0.5</v>
      </c>
      <c r="AG31">
        <v>0</v>
      </c>
      <c r="AH31" t="s">
        <v>302</v>
      </c>
      <c r="AI31">
        <v>0</v>
      </c>
      <c r="AJ31">
        <v>0.3</v>
      </c>
      <c r="AK31">
        <v>0.7</v>
      </c>
      <c r="AL31">
        <v>0</v>
      </c>
      <c r="AM31">
        <v>0</v>
      </c>
      <c r="AN31">
        <v>76.522999999999996</v>
      </c>
      <c r="AO31">
        <v>30.504444444444445</v>
      </c>
      <c r="AP31">
        <v>0.75555555555555554</v>
      </c>
      <c r="AQ31" t="s">
        <v>20</v>
      </c>
      <c r="AR31" s="100">
        <v>0.874</v>
      </c>
      <c r="AS31" s="100" t="s">
        <v>975</v>
      </c>
      <c r="AT31" s="100">
        <v>0.68400000000000005</v>
      </c>
    </row>
    <row r="32" spans="1:46" x14ac:dyDescent="0.35">
      <c r="A32" t="s">
        <v>330</v>
      </c>
      <c r="B32" t="s">
        <v>186</v>
      </c>
      <c r="C32" s="20">
        <v>46039.668645833335</v>
      </c>
      <c r="D32">
        <v>44.7</v>
      </c>
      <c r="E32">
        <v>1.2</v>
      </c>
      <c r="F32">
        <v>45.8</v>
      </c>
      <c r="G32">
        <v>42.6</v>
      </c>
      <c r="H32">
        <v>7.1588366890380213</v>
      </c>
      <c r="I32" t="s">
        <v>303</v>
      </c>
      <c r="J32">
        <v>17.5</v>
      </c>
      <c r="K32">
        <v>249</v>
      </c>
      <c r="L32">
        <v>95</v>
      </c>
      <c r="M32">
        <v>98</v>
      </c>
      <c r="N32">
        <v>2573</v>
      </c>
      <c r="O32">
        <v>95.3</v>
      </c>
      <c r="P32">
        <v>0.87</v>
      </c>
      <c r="Q32">
        <v>50</v>
      </c>
      <c r="R32">
        <v>12</v>
      </c>
      <c r="S32">
        <v>0.94640000000000002</v>
      </c>
      <c r="T32">
        <v>1</v>
      </c>
      <c r="U32">
        <v>159.83000000000001</v>
      </c>
      <c r="V32">
        <v>-1.3</v>
      </c>
      <c r="W32">
        <v>0.82499999999999996</v>
      </c>
      <c r="X32">
        <v>1</v>
      </c>
      <c r="Y32">
        <v>2112</v>
      </c>
      <c r="Z32">
        <v>87.898777777777781</v>
      </c>
      <c r="AA32">
        <v>0</v>
      </c>
      <c r="AB32">
        <v>0.87</v>
      </c>
      <c r="AC32">
        <v>16</v>
      </c>
      <c r="AD32">
        <v>7</v>
      </c>
      <c r="AE32">
        <v>31</v>
      </c>
      <c r="AF32">
        <v>0.5</v>
      </c>
      <c r="AG32">
        <v>0</v>
      </c>
      <c r="AH32" t="s">
        <v>302</v>
      </c>
      <c r="AI32">
        <v>0</v>
      </c>
      <c r="AJ32">
        <v>0.3</v>
      </c>
      <c r="AK32">
        <v>0.7</v>
      </c>
      <c r="AL32">
        <v>0</v>
      </c>
      <c r="AM32">
        <v>0</v>
      </c>
      <c r="AN32">
        <v>75.052999999999997</v>
      </c>
      <c r="AO32">
        <v>29.476488888888891</v>
      </c>
      <c r="AP32">
        <v>0.80555555555555547</v>
      </c>
      <c r="AQ32" t="s">
        <v>20</v>
      </c>
      <c r="AR32" s="100">
        <v>0.875</v>
      </c>
      <c r="AS32" s="100" t="s">
        <v>975</v>
      </c>
      <c r="AT32" s="100">
        <v>0.66900000000000004</v>
      </c>
    </row>
    <row r="33" spans="1:46" x14ac:dyDescent="0.35">
      <c r="A33" t="s">
        <v>331</v>
      </c>
      <c r="B33" t="s">
        <v>186</v>
      </c>
      <c r="C33" s="20">
        <v>46039.668645833335</v>
      </c>
      <c r="D33">
        <v>46.9</v>
      </c>
      <c r="E33">
        <v>1.8</v>
      </c>
      <c r="F33">
        <v>48.5</v>
      </c>
      <c r="G33">
        <v>42.5</v>
      </c>
      <c r="H33">
        <v>12.793176972281451</v>
      </c>
      <c r="I33" t="s">
        <v>303</v>
      </c>
      <c r="J33">
        <v>23.1</v>
      </c>
      <c r="K33">
        <v>190</v>
      </c>
      <c r="L33">
        <v>71</v>
      </c>
      <c r="M33">
        <v>96</v>
      </c>
      <c r="N33">
        <v>2573</v>
      </c>
      <c r="O33">
        <v>97.9</v>
      </c>
      <c r="P33">
        <v>0.57999999999999996</v>
      </c>
      <c r="Q33">
        <v>82</v>
      </c>
      <c r="R33">
        <v>25</v>
      </c>
      <c r="S33">
        <v>0.96840000000000004</v>
      </c>
      <c r="T33">
        <v>1</v>
      </c>
      <c r="U33">
        <v>76.8</v>
      </c>
      <c r="V33">
        <v>0.4</v>
      </c>
      <c r="W33">
        <v>0.76900000000000002</v>
      </c>
      <c r="X33">
        <v>1</v>
      </c>
      <c r="Y33">
        <v>2033</v>
      </c>
      <c r="Z33">
        <v>87.268555555555551</v>
      </c>
      <c r="AA33">
        <v>2</v>
      </c>
      <c r="AB33">
        <v>0.98</v>
      </c>
      <c r="AC33">
        <v>16</v>
      </c>
      <c r="AD33">
        <v>7</v>
      </c>
      <c r="AE33">
        <v>32</v>
      </c>
      <c r="AF33">
        <v>0.5</v>
      </c>
      <c r="AG33">
        <v>0</v>
      </c>
      <c r="AH33" t="s">
        <v>302</v>
      </c>
      <c r="AI33">
        <v>0</v>
      </c>
      <c r="AJ33">
        <v>0.3</v>
      </c>
      <c r="AK33">
        <v>0.7</v>
      </c>
      <c r="AL33">
        <v>0</v>
      </c>
      <c r="AM33">
        <v>0</v>
      </c>
      <c r="AN33">
        <v>79.643000000000001</v>
      </c>
      <c r="AO33">
        <v>29.788577777777778</v>
      </c>
      <c r="AP33">
        <v>0.8833333333333333</v>
      </c>
      <c r="AQ33" t="s">
        <v>20</v>
      </c>
      <c r="AR33" s="100">
        <v>0.89400000000000002</v>
      </c>
      <c r="AS33" s="100" t="s">
        <v>975</v>
      </c>
      <c r="AT33" s="100">
        <v>0.76500000000000001</v>
      </c>
    </row>
    <row r="34" spans="1:46" x14ac:dyDescent="0.35">
      <c r="A34" t="s">
        <v>332</v>
      </c>
      <c r="B34" t="s">
        <v>186</v>
      </c>
      <c r="C34" s="20">
        <v>46039.668645833335</v>
      </c>
      <c r="D34">
        <v>42.5</v>
      </c>
      <c r="E34">
        <v>1</v>
      </c>
      <c r="F34">
        <v>45</v>
      </c>
      <c r="G34">
        <v>37.700000000000003</v>
      </c>
      <c r="H34">
        <v>17.176470588235286</v>
      </c>
      <c r="I34" t="s">
        <v>303</v>
      </c>
      <c r="J34">
        <v>11</v>
      </c>
      <c r="K34">
        <v>320</v>
      </c>
      <c r="L34">
        <v>92</v>
      </c>
      <c r="M34">
        <v>224</v>
      </c>
      <c r="N34">
        <v>2573</v>
      </c>
      <c r="O34">
        <v>99.3</v>
      </c>
      <c r="P34">
        <v>0.11</v>
      </c>
      <c r="Q34">
        <v>12</v>
      </c>
      <c r="R34">
        <v>8</v>
      </c>
      <c r="S34">
        <v>0.99280000000000002</v>
      </c>
      <c r="T34">
        <v>1</v>
      </c>
      <c r="U34">
        <v>95.21</v>
      </c>
      <c r="V34">
        <v>2.8</v>
      </c>
      <c r="W34">
        <v>0.89</v>
      </c>
      <c r="X34">
        <v>1</v>
      </c>
      <c r="Y34">
        <v>804</v>
      </c>
      <c r="Z34">
        <v>87.268555555555551</v>
      </c>
      <c r="AA34">
        <v>2</v>
      </c>
      <c r="AB34">
        <v>0.93</v>
      </c>
      <c r="AC34">
        <v>16</v>
      </c>
      <c r="AD34">
        <v>7</v>
      </c>
      <c r="AE34">
        <v>33</v>
      </c>
      <c r="AF34">
        <v>0.5</v>
      </c>
      <c r="AG34">
        <v>0</v>
      </c>
      <c r="AH34" t="s">
        <v>302</v>
      </c>
      <c r="AI34">
        <v>0</v>
      </c>
      <c r="AJ34">
        <v>0.3</v>
      </c>
      <c r="AK34">
        <v>0.7</v>
      </c>
      <c r="AL34">
        <v>0</v>
      </c>
      <c r="AM34">
        <v>0</v>
      </c>
      <c r="AN34">
        <v>75.855999999999995</v>
      </c>
      <c r="AO34">
        <v>27.96457777777778</v>
      </c>
      <c r="AP34">
        <v>0.98333333333333328</v>
      </c>
      <c r="AQ34" t="s">
        <v>20</v>
      </c>
      <c r="AR34" s="100">
        <v>0.89800000000000002</v>
      </c>
      <c r="AS34" s="100" t="s">
        <v>975</v>
      </c>
      <c r="AT34" s="100">
        <v>0.72899999999999998</v>
      </c>
    </row>
    <row r="35" spans="1:46" x14ac:dyDescent="0.35">
      <c r="A35" t="s">
        <v>333</v>
      </c>
      <c r="B35" t="s">
        <v>186</v>
      </c>
      <c r="C35" s="20">
        <v>46039.668645833335</v>
      </c>
      <c r="D35">
        <v>51.1</v>
      </c>
      <c r="E35">
        <v>1.2</v>
      </c>
      <c r="F35">
        <v>53.9</v>
      </c>
      <c r="G35">
        <v>49.9</v>
      </c>
      <c r="H35">
        <v>7.8277886497064575</v>
      </c>
      <c r="I35" t="s">
        <v>303</v>
      </c>
      <c r="J35">
        <v>10.3</v>
      </c>
      <c r="K35">
        <v>236</v>
      </c>
      <c r="L35">
        <v>82</v>
      </c>
      <c r="M35">
        <v>82</v>
      </c>
      <c r="N35">
        <v>2573</v>
      </c>
      <c r="O35">
        <v>98.8</v>
      </c>
      <c r="P35">
        <v>0.69</v>
      </c>
      <c r="Q35">
        <v>23</v>
      </c>
      <c r="R35">
        <v>16</v>
      </c>
      <c r="S35">
        <v>0.96760000000000002</v>
      </c>
      <c r="T35">
        <v>1</v>
      </c>
      <c r="U35">
        <v>253.55</v>
      </c>
      <c r="V35">
        <v>-1.8</v>
      </c>
      <c r="W35">
        <v>0.89700000000000002</v>
      </c>
      <c r="X35">
        <v>1</v>
      </c>
      <c r="Y35">
        <v>4746</v>
      </c>
      <c r="Z35">
        <v>92.128888888888895</v>
      </c>
      <c r="AA35">
        <v>0</v>
      </c>
      <c r="AB35">
        <v>0.92</v>
      </c>
      <c r="AC35">
        <v>16</v>
      </c>
      <c r="AD35">
        <v>7</v>
      </c>
      <c r="AE35">
        <v>34</v>
      </c>
      <c r="AF35">
        <v>0.5</v>
      </c>
      <c r="AG35">
        <v>0</v>
      </c>
      <c r="AH35" t="s">
        <v>302</v>
      </c>
      <c r="AI35">
        <v>0</v>
      </c>
      <c r="AJ35">
        <v>0.3</v>
      </c>
      <c r="AK35">
        <v>0.7</v>
      </c>
      <c r="AL35">
        <v>0</v>
      </c>
      <c r="AM35">
        <v>0</v>
      </c>
      <c r="AN35">
        <v>74.926999999999992</v>
      </c>
      <c r="AO35">
        <v>32.012444444444441</v>
      </c>
      <c r="AP35">
        <v>0.86111111111111105</v>
      </c>
      <c r="AQ35" t="s">
        <v>20</v>
      </c>
      <c r="AR35" s="100">
        <v>0.88800000000000001</v>
      </c>
      <c r="AS35" s="100" t="s">
        <v>975</v>
      </c>
      <c r="AT35" s="100">
        <v>0.753</v>
      </c>
    </row>
    <row r="36" spans="1:46" x14ac:dyDescent="0.35">
      <c r="A36" t="s">
        <v>334</v>
      </c>
      <c r="B36" t="s">
        <v>186</v>
      </c>
      <c r="C36" s="20">
        <v>46039.668645833335</v>
      </c>
      <c r="D36">
        <v>45.7</v>
      </c>
      <c r="E36">
        <v>1.1000000000000001</v>
      </c>
      <c r="F36">
        <v>47</v>
      </c>
      <c r="G36">
        <v>41.9</v>
      </c>
      <c r="H36">
        <v>11.159737417943109</v>
      </c>
      <c r="I36" t="s">
        <v>303</v>
      </c>
      <c r="J36">
        <v>10.8</v>
      </c>
      <c r="K36">
        <v>379</v>
      </c>
      <c r="L36">
        <v>119</v>
      </c>
      <c r="M36">
        <v>229</v>
      </c>
      <c r="N36">
        <v>2573</v>
      </c>
      <c r="O36">
        <v>95.9</v>
      </c>
      <c r="P36">
        <v>0.61</v>
      </c>
      <c r="Q36">
        <v>59</v>
      </c>
      <c r="R36">
        <v>12</v>
      </c>
      <c r="S36">
        <v>0.95920000000000005</v>
      </c>
      <c r="T36">
        <v>1</v>
      </c>
      <c r="U36">
        <v>145.25</v>
      </c>
      <c r="V36">
        <v>2.1</v>
      </c>
      <c r="W36">
        <v>0.89200000000000002</v>
      </c>
      <c r="X36">
        <v>1</v>
      </c>
      <c r="Y36">
        <v>2484</v>
      </c>
      <c r="Z36">
        <v>88.325611111111115</v>
      </c>
      <c r="AA36">
        <v>2</v>
      </c>
      <c r="AB36">
        <v>0.96</v>
      </c>
      <c r="AC36">
        <v>16</v>
      </c>
      <c r="AD36">
        <v>7</v>
      </c>
      <c r="AE36">
        <v>35</v>
      </c>
      <c r="AF36">
        <v>0.5</v>
      </c>
      <c r="AG36">
        <v>0</v>
      </c>
      <c r="AH36" t="s">
        <v>302</v>
      </c>
      <c r="AI36">
        <v>0</v>
      </c>
      <c r="AJ36">
        <v>0.3</v>
      </c>
      <c r="AK36">
        <v>0.7</v>
      </c>
      <c r="AL36">
        <v>0</v>
      </c>
      <c r="AM36">
        <v>0</v>
      </c>
      <c r="AN36">
        <v>75.884</v>
      </c>
      <c r="AO36">
        <v>30.31775555555555</v>
      </c>
      <c r="AP36">
        <v>0.85555555555555551</v>
      </c>
      <c r="AQ36" t="s">
        <v>20</v>
      </c>
      <c r="AR36" s="100">
        <v>0.89500000000000002</v>
      </c>
      <c r="AS36" s="100" t="s">
        <v>975</v>
      </c>
      <c r="AT36" s="100">
        <v>0.75900000000000001</v>
      </c>
    </row>
    <row r="37" spans="1:46" x14ac:dyDescent="0.35">
      <c r="A37" t="s">
        <v>335</v>
      </c>
      <c r="B37" t="s">
        <v>186</v>
      </c>
      <c r="C37" s="20">
        <v>46039.668645833335</v>
      </c>
      <c r="D37">
        <v>46</v>
      </c>
      <c r="E37">
        <v>1</v>
      </c>
      <c r="F37">
        <v>47</v>
      </c>
      <c r="G37">
        <v>43.4</v>
      </c>
      <c r="H37">
        <v>7.8260869565217419</v>
      </c>
      <c r="I37" t="s">
        <v>303</v>
      </c>
      <c r="J37">
        <v>19.2</v>
      </c>
      <c r="K37">
        <v>174</v>
      </c>
      <c r="L37">
        <v>108</v>
      </c>
      <c r="M37">
        <v>231</v>
      </c>
      <c r="N37">
        <v>2573</v>
      </c>
      <c r="O37">
        <v>97.5</v>
      </c>
      <c r="P37">
        <v>0.16</v>
      </c>
      <c r="Q37">
        <v>35</v>
      </c>
      <c r="R37">
        <v>21</v>
      </c>
      <c r="S37">
        <v>0.58360000000000001</v>
      </c>
      <c r="T37">
        <v>0</v>
      </c>
      <c r="U37">
        <v>242.9</v>
      </c>
      <c r="V37">
        <v>4.8</v>
      </c>
      <c r="W37">
        <v>0.80800000000000005</v>
      </c>
      <c r="X37">
        <v>1</v>
      </c>
      <c r="Y37">
        <v>874</v>
      </c>
      <c r="Z37">
        <v>88.325611111111115</v>
      </c>
      <c r="AA37">
        <v>6</v>
      </c>
      <c r="AB37">
        <v>0.85</v>
      </c>
      <c r="AC37">
        <v>16</v>
      </c>
      <c r="AD37">
        <v>7</v>
      </c>
      <c r="AE37">
        <v>36</v>
      </c>
      <c r="AF37">
        <v>0.5</v>
      </c>
      <c r="AG37">
        <v>0</v>
      </c>
      <c r="AH37" t="s">
        <v>302</v>
      </c>
      <c r="AI37">
        <v>0</v>
      </c>
      <c r="AJ37">
        <v>0.3</v>
      </c>
      <c r="AK37">
        <v>0.7</v>
      </c>
      <c r="AL37">
        <v>0</v>
      </c>
      <c r="AM37">
        <v>0</v>
      </c>
      <c r="AN37">
        <v>37.722000000000001</v>
      </c>
      <c r="AO37">
        <v>34.893755555555558</v>
      </c>
      <c r="AP37">
        <v>0.65722222222222215</v>
      </c>
      <c r="AQ37" t="s">
        <v>20</v>
      </c>
      <c r="AR37" s="94">
        <v>0.46300000000000002</v>
      </c>
      <c r="AS37" s="94" t="s">
        <v>976</v>
      </c>
      <c r="AT37" s="94">
        <v>0.34799999999999998</v>
      </c>
    </row>
    <row r="38" spans="1:46" x14ac:dyDescent="0.35">
      <c r="A38" t="s">
        <v>336</v>
      </c>
      <c r="B38" t="s">
        <v>186</v>
      </c>
      <c r="C38" s="20">
        <v>46039.668645833335</v>
      </c>
      <c r="D38">
        <v>53.2</v>
      </c>
      <c r="E38">
        <v>2.2000000000000002</v>
      </c>
      <c r="F38">
        <v>56.9</v>
      </c>
      <c r="G38">
        <v>51</v>
      </c>
      <c r="H38">
        <v>11.090225563909771</v>
      </c>
      <c r="I38" t="s">
        <v>303</v>
      </c>
      <c r="J38">
        <v>24.2</v>
      </c>
      <c r="K38">
        <v>231</v>
      </c>
      <c r="L38">
        <v>118</v>
      </c>
      <c r="M38">
        <v>115</v>
      </c>
      <c r="N38">
        <v>2573</v>
      </c>
      <c r="O38">
        <v>98.3</v>
      </c>
      <c r="P38">
        <v>0.68</v>
      </c>
      <c r="Q38">
        <v>91</v>
      </c>
      <c r="R38">
        <v>20</v>
      </c>
      <c r="S38">
        <v>0.96600000000000008</v>
      </c>
      <c r="T38">
        <v>1</v>
      </c>
      <c r="U38">
        <v>174.29</v>
      </c>
      <c r="V38">
        <v>4.4000000000000004</v>
      </c>
      <c r="W38">
        <v>0.75800000000000001</v>
      </c>
      <c r="X38">
        <v>1</v>
      </c>
      <c r="Y38">
        <v>3065</v>
      </c>
      <c r="Z38">
        <v>87.268555555555551</v>
      </c>
      <c r="AA38">
        <v>2</v>
      </c>
      <c r="AB38">
        <v>0.9</v>
      </c>
      <c r="AC38">
        <v>16</v>
      </c>
      <c r="AD38">
        <v>7</v>
      </c>
      <c r="AE38">
        <v>37</v>
      </c>
      <c r="AF38">
        <v>0.5</v>
      </c>
      <c r="AG38">
        <v>0</v>
      </c>
      <c r="AH38" t="s">
        <v>302</v>
      </c>
      <c r="AI38">
        <v>0</v>
      </c>
      <c r="AJ38">
        <v>0.3</v>
      </c>
      <c r="AK38">
        <v>0.7</v>
      </c>
      <c r="AL38">
        <v>0</v>
      </c>
      <c r="AM38">
        <v>0</v>
      </c>
      <c r="AN38">
        <v>77.87</v>
      </c>
      <c r="AO38">
        <v>31.59257777777778</v>
      </c>
      <c r="AP38">
        <v>0.8388888888888888</v>
      </c>
      <c r="AQ38" t="s">
        <v>20</v>
      </c>
      <c r="AR38" s="100">
        <v>0.874</v>
      </c>
      <c r="AS38" s="100" t="s">
        <v>975</v>
      </c>
      <c r="AT38" s="100">
        <v>0.68600000000000005</v>
      </c>
    </row>
    <row r="39" spans="1:46" x14ac:dyDescent="0.35">
      <c r="A39" t="s">
        <v>337</v>
      </c>
      <c r="B39" t="s">
        <v>186</v>
      </c>
      <c r="C39" s="20">
        <v>46039.668645833335</v>
      </c>
      <c r="D39">
        <v>44.7</v>
      </c>
      <c r="E39">
        <v>1.7</v>
      </c>
      <c r="F39">
        <v>48.6</v>
      </c>
      <c r="G39">
        <v>40.1</v>
      </c>
      <c r="H39">
        <v>19.01565995525727</v>
      </c>
      <c r="I39" t="s">
        <v>303</v>
      </c>
      <c r="J39">
        <v>13.5</v>
      </c>
      <c r="K39">
        <v>431</v>
      </c>
      <c r="L39">
        <v>67</v>
      </c>
      <c r="M39">
        <v>81</v>
      </c>
      <c r="N39">
        <v>2573</v>
      </c>
      <c r="O39">
        <v>95.9</v>
      </c>
      <c r="P39">
        <v>1.23</v>
      </c>
      <c r="Q39">
        <v>70</v>
      </c>
      <c r="R39">
        <v>7</v>
      </c>
      <c r="S39">
        <v>0.93440000000000012</v>
      </c>
      <c r="T39">
        <v>1</v>
      </c>
      <c r="U39">
        <v>292.92</v>
      </c>
      <c r="V39">
        <v>2</v>
      </c>
      <c r="W39">
        <v>0.86499999999999999</v>
      </c>
      <c r="X39">
        <v>1</v>
      </c>
      <c r="Y39">
        <v>4815</v>
      </c>
      <c r="Z39">
        <v>87.202611111111111</v>
      </c>
      <c r="AA39">
        <v>4</v>
      </c>
      <c r="AB39">
        <v>0.81</v>
      </c>
      <c r="AC39">
        <v>16</v>
      </c>
      <c r="AD39">
        <v>7</v>
      </c>
      <c r="AE39">
        <v>38</v>
      </c>
      <c r="AF39">
        <v>0.5</v>
      </c>
      <c r="AG39">
        <v>0</v>
      </c>
      <c r="AH39" t="s">
        <v>302</v>
      </c>
      <c r="AI39">
        <v>0</v>
      </c>
      <c r="AJ39">
        <v>0.3</v>
      </c>
      <c r="AK39">
        <v>0.7</v>
      </c>
      <c r="AL39">
        <v>0</v>
      </c>
      <c r="AM39">
        <v>0</v>
      </c>
      <c r="AN39">
        <v>72.313000000000002</v>
      </c>
      <c r="AO39">
        <v>31.574955555555555</v>
      </c>
      <c r="AP39">
        <v>0.97222222222222221</v>
      </c>
      <c r="AQ39" t="s">
        <v>20</v>
      </c>
      <c r="AR39" s="100">
        <v>0.85</v>
      </c>
      <c r="AS39" s="100" t="s">
        <v>975</v>
      </c>
      <c r="AT39" s="100">
        <v>0.6</v>
      </c>
    </row>
    <row r="40" spans="1:46" x14ac:dyDescent="0.35">
      <c r="A40" t="s">
        <v>338</v>
      </c>
      <c r="B40" t="s">
        <v>186</v>
      </c>
      <c r="C40" s="20">
        <v>46039.668645833335</v>
      </c>
      <c r="D40">
        <v>48.2</v>
      </c>
      <c r="E40">
        <v>0.7</v>
      </c>
      <c r="F40">
        <v>49.3</v>
      </c>
      <c r="G40">
        <v>45.2</v>
      </c>
      <c r="H40">
        <v>8.506224066390029</v>
      </c>
      <c r="I40" t="s">
        <v>303</v>
      </c>
      <c r="J40">
        <v>12.8</v>
      </c>
      <c r="K40">
        <v>260</v>
      </c>
      <c r="L40">
        <v>104</v>
      </c>
      <c r="M40">
        <v>121</v>
      </c>
      <c r="N40">
        <v>2573</v>
      </c>
      <c r="O40">
        <v>95.5</v>
      </c>
      <c r="P40">
        <v>0.19</v>
      </c>
      <c r="Q40">
        <v>69</v>
      </c>
      <c r="R40">
        <v>23</v>
      </c>
      <c r="S40">
        <v>0.97440000000000004</v>
      </c>
      <c r="T40">
        <v>1</v>
      </c>
      <c r="U40">
        <v>207.4</v>
      </c>
      <c r="V40">
        <v>2.7</v>
      </c>
      <c r="W40">
        <v>0.872</v>
      </c>
      <c r="X40">
        <v>1</v>
      </c>
      <c r="Y40">
        <v>3671</v>
      </c>
      <c r="Z40">
        <v>87.898777777777781</v>
      </c>
      <c r="AA40">
        <v>1</v>
      </c>
      <c r="AB40">
        <v>0.78</v>
      </c>
      <c r="AC40">
        <v>16</v>
      </c>
      <c r="AD40">
        <v>7</v>
      </c>
      <c r="AE40">
        <v>39</v>
      </c>
      <c r="AF40">
        <v>0.5</v>
      </c>
      <c r="AG40">
        <v>0</v>
      </c>
      <c r="AH40" t="s">
        <v>302</v>
      </c>
      <c r="AI40">
        <v>0</v>
      </c>
      <c r="AJ40">
        <v>0.3</v>
      </c>
      <c r="AK40">
        <v>0.7</v>
      </c>
      <c r="AL40">
        <v>0</v>
      </c>
      <c r="AM40">
        <v>0</v>
      </c>
      <c r="AN40">
        <v>72.188000000000002</v>
      </c>
      <c r="AO40">
        <v>31.03648888888889</v>
      </c>
      <c r="AP40">
        <v>0.84444444444444444</v>
      </c>
      <c r="AQ40" t="s">
        <v>20</v>
      </c>
      <c r="AR40" s="100">
        <v>0.87</v>
      </c>
      <c r="AS40" s="100" t="s">
        <v>975</v>
      </c>
      <c r="AT40" s="100">
        <v>0.59599999999999997</v>
      </c>
    </row>
    <row r="41" spans="1:46" x14ac:dyDescent="0.35">
      <c r="A41" t="s">
        <v>339</v>
      </c>
      <c r="B41" t="s">
        <v>186</v>
      </c>
      <c r="C41" s="20">
        <v>46039.668645833335</v>
      </c>
      <c r="D41">
        <v>42.8</v>
      </c>
      <c r="E41">
        <v>1.2</v>
      </c>
      <c r="F41">
        <v>46.2</v>
      </c>
      <c r="G41">
        <v>40.4</v>
      </c>
      <c r="H41">
        <v>13.551401869158889</v>
      </c>
      <c r="I41" t="s">
        <v>303</v>
      </c>
      <c r="J41">
        <v>21.4</v>
      </c>
      <c r="K41">
        <v>412</v>
      </c>
      <c r="L41">
        <v>77</v>
      </c>
      <c r="M41">
        <v>95</v>
      </c>
      <c r="N41">
        <v>2573</v>
      </c>
      <c r="O41">
        <v>98.5</v>
      </c>
      <c r="P41">
        <v>0.81</v>
      </c>
      <c r="Q41">
        <v>38</v>
      </c>
      <c r="R41">
        <v>18</v>
      </c>
      <c r="S41">
        <v>0.96160000000000001</v>
      </c>
      <c r="T41">
        <v>1</v>
      </c>
      <c r="U41">
        <v>127.06</v>
      </c>
      <c r="V41">
        <v>-4.2</v>
      </c>
      <c r="W41">
        <v>0.78600000000000003</v>
      </c>
      <c r="X41">
        <v>1</v>
      </c>
      <c r="Y41">
        <v>551</v>
      </c>
      <c r="Z41">
        <v>89.371833333333342</v>
      </c>
      <c r="AA41">
        <v>3</v>
      </c>
      <c r="AB41">
        <v>0.88</v>
      </c>
      <c r="AC41">
        <v>16</v>
      </c>
      <c r="AD41">
        <v>7</v>
      </c>
      <c r="AE41">
        <v>40</v>
      </c>
      <c r="AF41">
        <v>0.5</v>
      </c>
      <c r="AG41">
        <v>0</v>
      </c>
      <c r="AH41" t="s">
        <v>302</v>
      </c>
      <c r="AI41">
        <v>0</v>
      </c>
      <c r="AJ41">
        <v>0.3</v>
      </c>
      <c r="AK41">
        <v>0.7</v>
      </c>
      <c r="AL41">
        <v>0</v>
      </c>
      <c r="AM41">
        <v>0</v>
      </c>
      <c r="AN41">
        <v>76.581999999999994</v>
      </c>
      <c r="AO41">
        <v>26.555266666666665</v>
      </c>
      <c r="AP41">
        <v>0.77222222222222214</v>
      </c>
      <c r="AQ41" t="s">
        <v>20</v>
      </c>
      <c r="AR41" s="100">
        <v>0.88200000000000001</v>
      </c>
      <c r="AS41" s="100" t="s">
        <v>975</v>
      </c>
      <c r="AT41" s="100">
        <v>0.69299999999999995</v>
      </c>
    </row>
    <row r="42" spans="1:46" x14ac:dyDescent="0.35">
      <c r="A42" t="s">
        <v>340</v>
      </c>
      <c r="B42" t="s">
        <v>186</v>
      </c>
      <c r="C42" s="20">
        <v>46039.668645833335</v>
      </c>
      <c r="D42">
        <v>51.4</v>
      </c>
      <c r="E42">
        <v>2.2999999999999998</v>
      </c>
      <c r="F42">
        <v>53.1</v>
      </c>
      <c r="G42">
        <v>47.1</v>
      </c>
      <c r="H42">
        <v>11.673151750972764</v>
      </c>
      <c r="I42" t="s">
        <v>303</v>
      </c>
      <c r="J42">
        <v>10.9</v>
      </c>
      <c r="K42">
        <v>246</v>
      </c>
      <c r="L42">
        <v>97</v>
      </c>
      <c r="M42">
        <v>215</v>
      </c>
      <c r="N42">
        <v>2573</v>
      </c>
      <c r="O42">
        <v>96.9</v>
      </c>
      <c r="P42">
        <v>0.35</v>
      </c>
      <c r="Q42">
        <v>97</v>
      </c>
      <c r="R42">
        <v>11</v>
      </c>
      <c r="S42">
        <v>0.97360000000000013</v>
      </c>
      <c r="T42">
        <v>1</v>
      </c>
      <c r="U42">
        <v>281.99</v>
      </c>
      <c r="V42">
        <v>-1.9</v>
      </c>
      <c r="W42">
        <v>0.89100000000000001</v>
      </c>
      <c r="X42">
        <v>0</v>
      </c>
      <c r="Y42">
        <v>4291</v>
      </c>
      <c r="Z42">
        <v>87.898777777777781</v>
      </c>
      <c r="AA42">
        <v>2</v>
      </c>
      <c r="AB42">
        <v>0.81</v>
      </c>
      <c r="AC42">
        <v>16</v>
      </c>
      <c r="AD42">
        <v>7</v>
      </c>
      <c r="AE42">
        <v>41</v>
      </c>
      <c r="AF42">
        <v>0.5</v>
      </c>
      <c r="AG42">
        <v>0</v>
      </c>
      <c r="AH42" t="s">
        <v>302</v>
      </c>
      <c r="AI42">
        <v>0</v>
      </c>
      <c r="AJ42">
        <v>0.3</v>
      </c>
      <c r="AK42">
        <v>0.7</v>
      </c>
      <c r="AL42">
        <v>0</v>
      </c>
      <c r="AM42">
        <v>0</v>
      </c>
      <c r="AN42">
        <v>72.447000000000003</v>
      </c>
      <c r="AO42">
        <v>35.524488888888889</v>
      </c>
      <c r="AP42">
        <v>0.86666666666666659</v>
      </c>
      <c r="AQ42" t="s">
        <v>20</v>
      </c>
      <c r="AR42" s="100">
        <v>0.85199999999999998</v>
      </c>
      <c r="AS42" s="100" t="s">
        <v>975</v>
      </c>
      <c r="AT42" s="100">
        <v>0.60599999999999998</v>
      </c>
    </row>
    <row r="43" spans="1:46" x14ac:dyDescent="0.35">
      <c r="A43" t="s">
        <v>341</v>
      </c>
      <c r="B43" t="s">
        <v>186</v>
      </c>
      <c r="C43" s="20">
        <v>46039.668645833335</v>
      </c>
      <c r="D43">
        <v>50.6</v>
      </c>
      <c r="E43">
        <v>1.8</v>
      </c>
      <c r="F43">
        <v>55</v>
      </c>
      <c r="G43">
        <v>47.5</v>
      </c>
      <c r="H43">
        <v>14.822134387351777</v>
      </c>
      <c r="I43" t="s">
        <v>303</v>
      </c>
      <c r="J43">
        <v>11.2</v>
      </c>
      <c r="K43">
        <v>231</v>
      </c>
      <c r="L43">
        <v>82</v>
      </c>
      <c r="M43">
        <v>101</v>
      </c>
      <c r="N43">
        <v>2573</v>
      </c>
      <c r="O43">
        <v>98.1</v>
      </c>
      <c r="P43">
        <v>0.49</v>
      </c>
      <c r="Q43">
        <v>79</v>
      </c>
      <c r="R43">
        <v>29</v>
      </c>
      <c r="S43">
        <v>0.9728</v>
      </c>
      <c r="T43">
        <v>1</v>
      </c>
      <c r="U43">
        <v>254.02</v>
      </c>
      <c r="V43">
        <v>-2.7</v>
      </c>
      <c r="W43">
        <v>0.88800000000000001</v>
      </c>
      <c r="X43">
        <v>1</v>
      </c>
      <c r="Y43">
        <v>3745</v>
      </c>
      <c r="Z43">
        <v>87.268555555555551</v>
      </c>
      <c r="AA43">
        <v>4</v>
      </c>
      <c r="AB43">
        <v>0.73</v>
      </c>
      <c r="AC43">
        <v>16</v>
      </c>
      <c r="AD43">
        <v>7</v>
      </c>
      <c r="AE43">
        <v>42</v>
      </c>
      <c r="AF43">
        <v>0.5</v>
      </c>
      <c r="AG43">
        <v>0</v>
      </c>
      <c r="AH43" t="s">
        <v>302</v>
      </c>
      <c r="AI43">
        <v>0</v>
      </c>
      <c r="AJ43">
        <v>0.3</v>
      </c>
      <c r="AK43">
        <v>0.7</v>
      </c>
      <c r="AL43">
        <v>0</v>
      </c>
      <c r="AM43">
        <v>0</v>
      </c>
      <c r="AN43">
        <v>70.506</v>
      </c>
      <c r="AO43">
        <v>32.524577777777779</v>
      </c>
      <c r="AP43">
        <v>0.89999999999999991</v>
      </c>
      <c r="AQ43" t="s">
        <v>20</v>
      </c>
      <c r="AR43" s="100">
        <v>0.84</v>
      </c>
      <c r="AS43" s="100" t="s">
        <v>975</v>
      </c>
      <c r="AT43" s="100">
        <v>0.53500000000000003</v>
      </c>
    </row>
    <row r="44" spans="1:46" x14ac:dyDescent="0.35">
      <c r="A44" t="s">
        <v>342</v>
      </c>
      <c r="B44" t="s">
        <v>186</v>
      </c>
      <c r="C44" s="20">
        <v>46039.668645833335</v>
      </c>
      <c r="D44">
        <v>52.3</v>
      </c>
      <c r="E44">
        <v>0.5</v>
      </c>
      <c r="F44">
        <v>57.1</v>
      </c>
      <c r="G44">
        <v>49.9</v>
      </c>
      <c r="H44">
        <v>13.766730401529642</v>
      </c>
      <c r="I44" t="s">
        <v>303</v>
      </c>
      <c r="J44">
        <v>22.1</v>
      </c>
      <c r="K44">
        <v>272</v>
      </c>
      <c r="L44">
        <v>108</v>
      </c>
      <c r="M44">
        <v>229</v>
      </c>
      <c r="N44">
        <v>2573</v>
      </c>
      <c r="O44">
        <v>98.7</v>
      </c>
      <c r="P44">
        <v>0.27</v>
      </c>
      <c r="Q44">
        <v>35</v>
      </c>
      <c r="R44">
        <v>27</v>
      </c>
      <c r="S44">
        <v>0.9840000000000001</v>
      </c>
      <c r="T44">
        <v>1</v>
      </c>
      <c r="U44">
        <v>237.58</v>
      </c>
      <c r="V44">
        <v>-0.9</v>
      </c>
      <c r="W44">
        <v>0.77900000000000003</v>
      </c>
      <c r="X44">
        <v>0</v>
      </c>
      <c r="Y44">
        <v>502</v>
      </c>
      <c r="Z44">
        <v>89.371833333333342</v>
      </c>
      <c r="AA44">
        <v>6</v>
      </c>
      <c r="AB44">
        <v>0.84</v>
      </c>
      <c r="AC44">
        <v>16</v>
      </c>
      <c r="AD44">
        <v>7</v>
      </c>
      <c r="AE44">
        <v>43</v>
      </c>
      <c r="AF44">
        <v>0.5</v>
      </c>
      <c r="AG44">
        <v>0</v>
      </c>
      <c r="AH44" t="s">
        <v>302</v>
      </c>
      <c r="AI44">
        <v>0</v>
      </c>
      <c r="AJ44">
        <v>0.3</v>
      </c>
      <c r="AK44">
        <v>0.7</v>
      </c>
      <c r="AL44">
        <v>0</v>
      </c>
      <c r="AM44">
        <v>0</v>
      </c>
      <c r="AN44">
        <v>76.204999999999998</v>
      </c>
      <c r="AO44">
        <v>22.491266666666665</v>
      </c>
      <c r="AP44">
        <v>1</v>
      </c>
      <c r="AQ44" t="s">
        <v>20</v>
      </c>
      <c r="AR44" s="100">
        <v>0.88800000000000001</v>
      </c>
      <c r="AS44" s="100" t="s">
        <v>975</v>
      </c>
      <c r="AT44" s="100">
        <v>0.66700000000000004</v>
      </c>
    </row>
    <row r="45" spans="1:46" x14ac:dyDescent="0.35">
      <c r="A45" t="s">
        <v>343</v>
      </c>
      <c r="B45" t="s">
        <v>186</v>
      </c>
      <c r="C45" s="20">
        <v>46039.668645833335</v>
      </c>
      <c r="D45">
        <v>52.1</v>
      </c>
      <c r="E45">
        <v>0.8</v>
      </c>
      <c r="F45">
        <v>56.6</v>
      </c>
      <c r="G45">
        <v>50</v>
      </c>
      <c r="H45">
        <v>12.667946257197698</v>
      </c>
      <c r="I45" t="s">
        <v>303</v>
      </c>
      <c r="J45">
        <v>13.9</v>
      </c>
      <c r="K45">
        <v>307</v>
      </c>
      <c r="L45">
        <v>105</v>
      </c>
      <c r="M45">
        <v>232</v>
      </c>
      <c r="N45">
        <v>2573</v>
      </c>
      <c r="O45">
        <v>99.2</v>
      </c>
      <c r="P45">
        <v>0.28999999999999998</v>
      </c>
      <c r="Q45">
        <v>19</v>
      </c>
      <c r="R45">
        <v>17</v>
      </c>
      <c r="S45">
        <v>0.98520000000000008</v>
      </c>
      <c r="T45">
        <v>1</v>
      </c>
      <c r="U45">
        <v>233.26</v>
      </c>
      <c r="V45">
        <v>3.4</v>
      </c>
      <c r="W45">
        <v>0.86099999999999999</v>
      </c>
      <c r="X45">
        <v>0</v>
      </c>
      <c r="Y45">
        <v>4971</v>
      </c>
      <c r="Z45">
        <v>89.371833333333342</v>
      </c>
      <c r="AA45">
        <v>1</v>
      </c>
      <c r="AB45">
        <v>0.8</v>
      </c>
      <c r="AC45">
        <v>16</v>
      </c>
      <c r="AD45">
        <v>7</v>
      </c>
      <c r="AE45">
        <v>44</v>
      </c>
      <c r="AF45">
        <v>0.5</v>
      </c>
      <c r="AG45">
        <v>0</v>
      </c>
      <c r="AH45" t="s">
        <v>302</v>
      </c>
      <c r="AI45">
        <v>0</v>
      </c>
      <c r="AJ45">
        <v>0.3</v>
      </c>
      <c r="AK45">
        <v>0.7</v>
      </c>
      <c r="AL45">
        <v>0</v>
      </c>
      <c r="AM45">
        <v>0</v>
      </c>
      <c r="AN45">
        <v>73.179000000000002</v>
      </c>
      <c r="AO45">
        <v>25.619266666666661</v>
      </c>
      <c r="AP45">
        <v>0.78888888888888886</v>
      </c>
      <c r="AQ45" t="s">
        <v>20</v>
      </c>
      <c r="AR45" s="100">
        <v>0.875</v>
      </c>
      <c r="AS45" s="100" t="s">
        <v>975</v>
      </c>
      <c r="AT45" s="100">
        <v>0.626</v>
      </c>
    </row>
    <row r="46" spans="1:46" x14ac:dyDescent="0.35">
      <c r="A46" t="s">
        <v>344</v>
      </c>
      <c r="B46" t="s">
        <v>186</v>
      </c>
      <c r="C46" s="20">
        <v>46039.668645833335</v>
      </c>
      <c r="D46">
        <v>53.1</v>
      </c>
      <c r="E46">
        <v>1.3</v>
      </c>
      <c r="F46">
        <v>57.5</v>
      </c>
      <c r="G46">
        <v>51.5</v>
      </c>
      <c r="H46">
        <v>11.299435028248586</v>
      </c>
      <c r="I46" t="s">
        <v>303</v>
      </c>
      <c r="J46">
        <v>19.8</v>
      </c>
      <c r="K46">
        <v>428</v>
      </c>
      <c r="L46">
        <v>92</v>
      </c>
      <c r="M46">
        <v>122</v>
      </c>
      <c r="N46">
        <v>2573</v>
      </c>
      <c r="O46">
        <v>95.9</v>
      </c>
      <c r="P46">
        <v>0.52</v>
      </c>
      <c r="Q46">
        <v>77</v>
      </c>
      <c r="R46">
        <v>28</v>
      </c>
      <c r="S46">
        <v>0.9628000000000001</v>
      </c>
      <c r="T46">
        <v>1</v>
      </c>
      <c r="U46">
        <v>142.34</v>
      </c>
      <c r="V46">
        <v>-3.6</v>
      </c>
      <c r="W46">
        <v>0.80200000000000005</v>
      </c>
      <c r="X46">
        <v>0</v>
      </c>
      <c r="Y46">
        <v>4121</v>
      </c>
      <c r="Z46">
        <v>87.898777777777781</v>
      </c>
      <c r="AA46">
        <v>3</v>
      </c>
      <c r="AB46">
        <v>0.87</v>
      </c>
      <c r="AC46">
        <v>16</v>
      </c>
      <c r="AD46">
        <v>7</v>
      </c>
      <c r="AE46">
        <v>45</v>
      </c>
      <c r="AF46">
        <v>0.5</v>
      </c>
      <c r="AG46">
        <v>0</v>
      </c>
      <c r="AH46" t="s">
        <v>302</v>
      </c>
      <c r="AI46">
        <v>0</v>
      </c>
      <c r="AJ46">
        <v>0.3</v>
      </c>
      <c r="AK46">
        <v>0.7</v>
      </c>
      <c r="AL46">
        <v>0</v>
      </c>
      <c r="AM46">
        <v>0</v>
      </c>
      <c r="AN46">
        <v>75.956000000000003</v>
      </c>
      <c r="AO46">
        <v>27.752488888888891</v>
      </c>
      <c r="AP46">
        <v>0.78888888888888886</v>
      </c>
      <c r="AQ46" t="s">
        <v>20</v>
      </c>
      <c r="AR46" s="100">
        <v>0.878</v>
      </c>
      <c r="AS46" s="100" t="s">
        <v>975</v>
      </c>
      <c r="AT46" s="100">
        <v>0.67200000000000004</v>
      </c>
    </row>
    <row r="47" spans="1:46" x14ac:dyDescent="0.35">
      <c r="A47" t="s">
        <v>345</v>
      </c>
      <c r="B47" t="s">
        <v>186</v>
      </c>
      <c r="C47" s="20">
        <v>46039.668645833335</v>
      </c>
      <c r="D47">
        <v>52.6</v>
      </c>
      <c r="E47">
        <v>1.5</v>
      </c>
      <c r="F47">
        <v>54.1</v>
      </c>
      <c r="G47">
        <v>50.7</v>
      </c>
      <c r="H47">
        <v>6.4638783269961948</v>
      </c>
      <c r="I47" t="s">
        <v>303</v>
      </c>
      <c r="J47">
        <v>19.399999999999999</v>
      </c>
      <c r="K47">
        <v>262</v>
      </c>
      <c r="L47">
        <v>110</v>
      </c>
      <c r="M47">
        <v>104</v>
      </c>
      <c r="N47">
        <v>2573</v>
      </c>
      <c r="O47">
        <v>99</v>
      </c>
      <c r="P47">
        <v>0.46</v>
      </c>
      <c r="Q47">
        <v>29</v>
      </c>
      <c r="R47">
        <v>8</v>
      </c>
      <c r="S47">
        <v>0.97760000000000002</v>
      </c>
      <c r="T47">
        <v>1</v>
      </c>
      <c r="U47">
        <v>130.81</v>
      </c>
      <c r="V47">
        <v>-2.4</v>
      </c>
      <c r="W47">
        <v>0.80600000000000005</v>
      </c>
      <c r="X47">
        <v>1</v>
      </c>
      <c r="Y47">
        <v>4183</v>
      </c>
      <c r="Z47">
        <v>87.898777777777781</v>
      </c>
      <c r="AA47">
        <v>2</v>
      </c>
      <c r="AB47">
        <v>0.89</v>
      </c>
      <c r="AC47">
        <v>16</v>
      </c>
      <c r="AD47">
        <v>7</v>
      </c>
      <c r="AE47">
        <v>46</v>
      </c>
      <c r="AF47">
        <v>0.5</v>
      </c>
      <c r="AG47">
        <v>0</v>
      </c>
      <c r="AH47" t="s">
        <v>302</v>
      </c>
      <c r="AI47">
        <v>0</v>
      </c>
      <c r="AJ47">
        <v>0.3</v>
      </c>
      <c r="AK47">
        <v>0.7</v>
      </c>
      <c r="AL47">
        <v>0</v>
      </c>
      <c r="AM47">
        <v>0</v>
      </c>
      <c r="AN47">
        <v>76.652000000000001</v>
      </c>
      <c r="AO47">
        <v>31.98448888888889</v>
      </c>
      <c r="AP47">
        <v>0.91666666666666663</v>
      </c>
      <c r="AQ47" t="s">
        <v>20</v>
      </c>
      <c r="AR47" s="100">
        <v>0.88300000000000001</v>
      </c>
      <c r="AS47" s="100" t="s">
        <v>975</v>
      </c>
      <c r="AT47" s="100">
        <v>0.69099999999999995</v>
      </c>
    </row>
    <row r="48" spans="1:46" x14ac:dyDescent="0.35">
      <c r="A48" t="s">
        <v>346</v>
      </c>
      <c r="B48" t="s">
        <v>186</v>
      </c>
      <c r="C48" s="20">
        <v>46039.668645833335</v>
      </c>
      <c r="D48">
        <v>51.5</v>
      </c>
      <c r="E48">
        <v>2.1</v>
      </c>
      <c r="F48">
        <v>54.4</v>
      </c>
      <c r="G48">
        <v>50.2</v>
      </c>
      <c r="H48">
        <v>8.1553398058252338</v>
      </c>
      <c r="I48" t="s">
        <v>303</v>
      </c>
      <c r="J48">
        <v>23.1</v>
      </c>
      <c r="K48">
        <v>292</v>
      </c>
      <c r="L48">
        <v>106</v>
      </c>
      <c r="M48">
        <v>152</v>
      </c>
      <c r="N48">
        <v>2573</v>
      </c>
      <c r="O48">
        <v>97.9</v>
      </c>
      <c r="P48">
        <v>0.16</v>
      </c>
      <c r="Q48">
        <v>42</v>
      </c>
      <c r="R48">
        <v>4</v>
      </c>
      <c r="S48">
        <v>0.98520000000000008</v>
      </c>
      <c r="T48">
        <v>1</v>
      </c>
      <c r="U48">
        <v>149.1</v>
      </c>
      <c r="V48">
        <v>2.2999999999999998</v>
      </c>
      <c r="W48">
        <v>0.76900000000000002</v>
      </c>
      <c r="X48">
        <v>1</v>
      </c>
      <c r="Y48">
        <v>3657</v>
      </c>
      <c r="Z48">
        <v>92.128888888888895</v>
      </c>
      <c r="AA48">
        <v>1</v>
      </c>
      <c r="AB48">
        <v>0.86</v>
      </c>
      <c r="AC48">
        <v>16</v>
      </c>
      <c r="AD48">
        <v>7</v>
      </c>
      <c r="AE48">
        <v>47</v>
      </c>
      <c r="AF48">
        <v>0.5</v>
      </c>
      <c r="AG48">
        <v>0</v>
      </c>
      <c r="AH48" t="s">
        <v>302</v>
      </c>
      <c r="AI48">
        <v>0</v>
      </c>
      <c r="AJ48">
        <v>0.3</v>
      </c>
      <c r="AK48">
        <v>0.7</v>
      </c>
      <c r="AL48">
        <v>0</v>
      </c>
      <c r="AM48">
        <v>0</v>
      </c>
      <c r="AN48">
        <v>76.978999999999999</v>
      </c>
      <c r="AO48">
        <v>30.076444444444441</v>
      </c>
      <c r="AP48">
        <v>0.95555555555555549</v>
      </c>
      <c r="AQ48" t="s">
        <v>20</v>
      </c>
      <c r="AR48" s="100">
        <v>0.872</v>
      </c>
      <c r="AS48" s="100" t="s">
        <v>975</v>
      </c>
      <c r="AT48" s="100">
        <v>0.69099999999999995</v>
      </c>
    </row>
    <row r="49" spans="1:46" x14ac:dyDescent="0.35">
      <c r="A49" t="s">
        <v>347</v>
      </c>
      <c r="B49" t="s">
        <v>186</v>
      </c>
      <c r="C49" s="20">
        <v>46039.668645833335</v>
      </c>
      <c r="D49">
        <v>59.2</v>
      </c>
      <c r="E49">
        <v>1.3</v>
      </c>
      <c r="F49">
        <v>61.8</v>
      </c>
      <c r="G49">
        <v>57.6</v>
      </c>
      <c r="H49">
        <v>7.0945945945945867</v>
      </c>
      <c r="I49" t="s">
        <v>303</v>
      </c>
      <c r="J49">
        <v>12.8</v>
      </c>
      <c r="K49">
        <v>314</v>
      </c>
      <c r="L49">
        <v>78</v>
      </c>
      <c r="M49">
        <v>136</v>
      </c>
      <c r="N49">
        <v>2573</v>
      </c>
      <c r="O49">
        <v>95.3</v>
      </c>
      <c r="P49">
        <v>1.02</v>
      </c>
      <c r="Q49">
        <v>17</v>
      </c>
      <c r="R49">
        <v>29</v>
      </c>
      <c r="S49">
        <v>0.94040000000000001</v>
      </c>
      <c r="T49">
        <v>1</v>
      </c>
      <c r="U49">
        <v>271.91000000000003</v>
      </c>
      <c r="V49">
        <v>0.9</v>
      </c>
      <c r="W49">
        <v>0.872</v>
      </c>
      <c r="X49">
        <v>0</v>
      </c>
      <c r="Y49">
        <v>3648</v>
      </c>
      <c r="Z49">
        <v>87.202611111111111</v>
      </c>
      <c r="AA49">
        <v>0</v>
      </c>
      <c r="AB49">
        <v>0.93</v>
      </c>
      <c r="AC49">
        <v>16</v>
      </c>
      <c r="AD49">
        <v>7</v>
      </c>
      <c r="AE49">
        <v>48</v>
      </c>
      <c r="AF49">
        <v>0.5</v>
      </c>
      <c r="AG49">
        <v>0</v>
      </c>
      <c r="AH49" t="s">
        <v>302</v>
      </c>
      <c r="AI49">
        <v>0</v>
      </c>
      <c r="AJ49">
        <v>0.3</v>
      </c>
      <c r="AK49">
        <v>0.7</v>
      </c>
      <c r="AL49">
        <v>0</v>
      </c>
      <c r="AM49">
        <v>0</v>
      </c>
      <c r="AN49">
        <v>75.25800000000001</v>
      </c>
      <c r="AO49">
        <v>29.654955555555556</v>
      </c>
      <c r="AP49">
        <v>0.8833333333333333</v>
      </c>
      <c r="AQ49" t="s">
        <v>20</v>
      </c>
      <c r="AR49" s="100">
        <v>0.88300000000000001</v>
      </c>
      <c r="AS49" s="100" t="s">
        <v>975</v>
      </c>
      <c r="AT49" s="100">
        <v>0.71599999999999997</v>
      </c>
    </row>
    <row r="50" spans="1:46" x14ac:dyDescent="0.35">
      <c r="A50" t="s">
        <v>348</v>
      </c>
      <c r="B50" t="s">
        <v>186</v>
      </c>
      <c r="C50" s="20">
        <v>46039.668645833335</v>
      </c>
      <c r="D50">
        <v>42.5</v>
      </c>
      <c r="E50">
        <v>1.7</v>
      </c>
      <c r="F50">
        <v>45.4</v>
      </c>
      <c r="G50">
        <v>38.799999999999997</v>
      </c>
      <c r="H50">
        <v>15.529411764705886</v>
      </c>
      <c r="I50" t="s">
        <v>303</v>
      </c>
      <c r="J50">
        <v>21</v>
      </c>
      <c r="K50">
        <v>373</v>
      </c>
      <c r="L50">
        <v>115</v>
      </c>
      <c r="M50">
        <v>189</v>
      </c>
      <c r="N50">
        <v>2573</v>
      </c>
      <c r="O50">
        <v>97.6</v>
      </c>
      <c r="P50">
        <v>1.43</v>
      </c>
      <c r="Q50">
        <v>82</v>
      </c>
      <c r="R50">
        <v>24</v>
      </c>
      <c r="S50">
        <v>0.93320000000000003</v>
      </c>
      <c r="T50">
        <v>1</v>
      </c>
      <c r="U50">
        <v>100.53</v>
      </c>
      <c r="V50">
        <v>0.7</v>
      </c>
      <c r="W50">
        <v>0.79</v>
      </c>
      <c r="X50">
        <v>0</v>
      </c>
      <c r="Y50">
        <v>1330</v>
      </c>
      <c r="Z50">
        <v>87.898777777777781</v>
      </c>
      <c r="AA50">
        <v>0</v>
      </c>
      <c r="AB50">
        <v>0.96</v>
      </c>
      <c r="AC50">
        <v>16</v>
      </c>
      <c r="AD50">
        <v>7</v>
      </c>
      <c r="AE50">
        <v>49</v>
      </c>
      <c r="AF50">
        <v>0.5</v>
      </c>
      <c r="AG50">
        <v>0</v>
      </c>
      <c r="AH50" t="s">
        <v>302</v>
      </c>
      <c r="AI50">
        <v>0</v>
      </c>
      <c r="AJ50">
        <v>0.3</v>
      </c>
      <c r="AK50">
        <v>0.7</v>
      </c>
      <c r="AL50">
        <v>0</v>
      </c>
      <c r="AM50">
        <v>0</v>
      </c>
      <c r="AN50">
        <v>77.913999999999987</v>
      </c>
      <c r="AO50">
        <v>31.308488888888888</v>
      </c>
      <c r="AP50">
        <v>0.88888888888888884</v>
      </c>
      <c r="AQ50" t="s">
        <v>20</v>
      </c>
      <c r="AR50" s="100">
        <v>0.88300000000000001</v>
      </c>
      <c r="AS50" s="100" t="s">
        <v>975</v>
      </c>
      <c r="AT50" s="100">
        <v>0.745</v>
      </c>
    </row>
    <row r="51" spans="1:46" x14ac:dyDescent="0.35">
      <c r="A51" t="s">
        <v>349</v>
      </c>
      <c r="B51" t="s">
        <v>186</v>
      </c>
      <c r="C51" s="20">
        <v>46039.668645833335</v>
      </c>
      <c r="D51">
        <v>41.2</v>
      </c>
      <c r="E51">
        <v>2.2999999999999998</v>
      </c>
      <c r="F51">
        <v>45.9</v>
      </c>
      <c r="G51">
        <v>36.6</v>
      </c>
      <c r="H51">
        <v>22.572815533980574</v>
      </c>
      <c r="I51" t="s">
        <v>303</v>
      </c>
      <c r="J51">
        <v>19.7</v>
      </c>
      <c r="K51">
        <v>269</v>
      </c>
      <c r="L51">
        <v>93</v>
      </c>
      <c r="M51">
        <v>196</v>
      </c>
      <c r="N51">
        <v>2573</v>
      </c>
      <c r="O51">
        <v>96.5</v>
      </c>
      <c r="P51">
        <v>1.1100000000000001</v>
      </c>
      <c r="Q51">
        <v>13</v>
      </c>
      <c r="R51">
        <v>6</v>
      </c>
      <c r="S51">
        <v>0.9416000000000001</v>
      </c>
      <c r="T51">
        <v>1</v>
      </c>
      <c r="U51">
        <v>227.72</v>
      </c>
      <c r="V51">
        <v>-0.2</v>
      </c>
      <c r="W51">
        <v>0.80300000000000005</v>
      </c>
      <c r="X51">
        <v>1</v>
      </c>
      <c r="Y51">
        <v>2528</v>
      </c>
      <c r="Z51">
        <v>87.898777777777781</v>
      </c>
      <c r="AA51">
        <v>0</v>
      </c>
      <c r="AB51">
        <v>0.87</v>
      </c>
      <c r="AC51">
        <v>16</v>
      </c>
      <c r="AD51">
        <v>7</v>
      </c>
      <c r="AE51">
        <v>50</v>
      </c>
      <c r="AF51">
        <v>0.5</v>
      </c>
      <c r="AG51">
        <v>0</v>
      </c>
      <c r="AH51" t="s">
        <v>302</v>
      </c>
      <c r="AI51">
        <v>0</v>
      </c>
      <c r="AJ51">
        <v>0.3</v>
      </c>
      <c r="AK51">
        <v>0.7</v>
      </c>
      <c r="AL51">
        <v>0</v>
      </c>
      <c r="AM51">
        <v>0</v>
      </c>
      <c r="AN51">
        <v>75.507000000000005</v>
      </c>
      <c r="AO51">
        <v>37.984488888888883</v>
      </c>
      <c r="AP51">
        <v>0.85</v>
      </c>
      <c r="AQ51" t="s">
        <v>20</v>
      </c>
      <c r="AR51" s="100">
        <v>0.85799999999999998</v>
      </c>
      <c r="AS51" s="100" t="s">
        <v>975</v>
      </c>
      <c r="AT51" s="100">
        <v>0.65600000000000003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5069D-64AB-4774-9344-C55B0932100A}">
  <sheetPr codeName="Sheet6"/>
  <dimension ref="A1:F7"/>
  <sheetViews>
    <sheetView zoomScale="75" workbookViewId="0">
      <selection activeCell="A2" sqref="A2"/>
    </sheetView>
  </sheetViews>
  <sheetFormatPr defaultRowHeight="14.5" x14ac:dyDescent="0.35"/>
  <cols>
    <col min="1" max="1" width="15.1796875" bestFit="1" customWidth="1"/>
    <col min="2" max="2" width="5.08984375" bestFit="1" customWidth="1"/>
    <col min="3" max="3" width="24.6328125" bestFit="1" customWidth="1"/>
    <col min="4" max="4" width="11.7265625" bestFit="1" customWidth="1"/>
    <col min="5" max="5" width="13.1796875" bestFit="1" customWidth="1"/>
    <col min="6" max="6" width="93.6328125" bestFit="1" customWidth="1"/>
  </cols>
  <sheetData>
    <row r="1" spans="1:6" x14ac:dyDescent="0.35">
      <c r="A1" s="51" t="s">
        <v>14</v>
      </c>
      <c r="B1" s="51" t="s">
        <v>532</v>
      </c>
      <c r="C1" s="51" t="s">
        <v>533</v>
      </c>
      <c r="D1" s="51" t="s">
        <v>534</v>
      </c>
      <c r="E1" s="51" t="s">
        <v>535</v>
      </c>
      <c r="F1" s="51" t="s">
        <v>536</v>
      </c>
    </row>
    <row r="2" spans="1:6" x14ac:dyDescent="0.35">
      <c r="A2" s="20">
        <v>46038.83357638889</v>
      </c>
      <c r="B2" t="s">
        <v>247</v>
      </c>
      <c r="C2" t="s">
        <v>537</v>
      </c>
      <c r="D2">
        <v>50</v>
      </c>
      <c r="E2" t="s">
        <v>538</v>
      </c>
      <c r="F2" t="s">
        <v>539</v>
      </c>
    </row>
    <row r="3" spans="1:6" x14ac:dyDescent="0.35">
      <c r="A3" s="20">
        <v>46038.836180555554</v>
      </c>
      <c r="B3" t="s">
        <v>247</v>
      </c>
      <c r="C3" t="s">
        <v>537</v>
      </c>
      <c r="D3">
        <v>50</v>
      </c>
      <c r="E3" t="s">
        <v>538</v>
      </c>
      <c r="F3" t="s">
        <v>621</v>
      </c>
    </row>
    <row r="4" spans="1:6" x14ac:dyDescent="0.35">
      <c r="A4" s="20">
        <v>46038.836377314816</v>
      </c>
      <c r="B4" t="s">
        <v>247</v>
      </c>
      <c r="C4" t="s">
        <v>537</v>
      </c>
      <c r="D4">
        <v>50</v>
      </c>
      <c r="E4" t="s">
        <v>538</v>
      </c>
      <c r="F4" t="s">
        <v>621</v>
      </c>
    </row>
    <row r="5" spans="1:6" x14ac:dyDescent="0.35">
      <c r="A5" s="20">
        <v>46038.841597222221</v>
      </c>
      <c r="B5" t="s">
        <v>247</v>
      </c>
      <c r="C5" t="s">
        <v>537</v>
      </c>
      <c r="D5">
        <v>50</v>
      </c>
      <c r="E5" t="s">
        <v>538</v>
      </c>
      <c r="F5" t="s">
        <v>622</v>
      </c>
    </row>
    <row r="6" spans="1:6" x14ac:dyDescent="0.35">
      <c r="A6" s="20">
        <v>46038.869664351849</v>
      </c>
      <c r="B6" t="s">
        <v>247</v>
      </c>
      <c r="C6" t="s">
        <v>537</v>
      </c>
      <c r="D6">
        <v>50</v>
      </c>
      <c r="E6" t="s">
        <v>538</v>
      </c>
      <c r="F6" t="s">
        <v>727</v>
      </c>
    </row>
    <row r="7" spans="1:6" x14ac:dyDescent="0.35">
      <c r="A7" s="20">
        <v>46038.874664351853</v>
      </c>
      <c r="B7" t="s">
        <v>247</v>
      </c>
      <c r="C7" t="s">
        <v>537</v>
      </c>
      <c r="D7">
        <v>50</v>
      </c>
      <c r="E7" t="s">
        <v>538</v>
      </c>
      <c r="F7" t="s">
        <v>781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C1C3-951E-4989-92BD-52E30AB93C4B}">
  <sheetPr codeName="Sheet8"/>
  <dimension ref="A1:S50"/>
  <sheetViews>
    <sheetView zoomScale="71" workbookViewId="0">
      <selection activeCell="B23" sqref="B23"/>
    </sheetView>
  </sheetViews>
  <sheetFormatPr defaultRowHeight="14.5" x14ac:dyDescent="0.35"/>
  <cols>
    <col min="1" max="4" width="20.6328125" customWidth="1"/>
    <col min="5" max="5" width="32.1796875" customWidth="1"/>
    <col min="6" max="6" width="20.6328125" customWidth="1"/>
    <col min="7" max="7" width="39.54296875" customWidth="1"/>
    <col min="8" max="10" width="20.6328125" customWidth="1"/>
  </cols>
  <sheetData>
    <row r="1" spans="1:19" s="27" customFormat="1" ht="20" customHeight="1" x14ac:dyDescent="0.3">
      <c r="A1" s="21" t="s">
        <v>245</v>
      </c>
      <c r="B1" s="21" t="s">
        <v>229</v>
      </c>
      <c r="C1" s="21" t="s">
        <v>238</v>
      </c>
      <c r="D1" s="21" t="s">
        <v>244</v>
      </c>
      <c r="E1" s="21" t="s">
        <v>239</v>
      </c>
      <c r="F1" s="21" t="s">
        <v>240</v>
      </c>
      <c r="G1" s="21" t="s">
        <v>241</v>
      </c>
      <c r="H1" s="21" t="s">
        <v>242</v>
      </c>
      <c r="I1" s="21" t="s">
        <v>243</v>
      </c>
      <c r="J1" s="21" t="s">
        <v>13</v>
      </c>
    </row>
    <row r="2" spans="1:19" ht="15.5" x14ac:dyDescent="0.35">
      <c r="A2" s="26">
        <v>1</v>
      </c>
      <c r="B2" s="28">
        <v>46027.354687500003</v>
      </c>
      <c r="C2" s="26" t="s">
        <v>129</v>
      </c>
      <c r="D2" s="26" t="s">
        <v>19</v>
      </c>
      <c r="E2" s="26" t="s">
        <v>130</v>
      </c>
      <c r="F2" s="26" t="s">
        <v>131</v>
      </c>
      <c r="G2" s="26" t="s">
        <v>132</v>
      </c>
      <c r="H2" s="26" t="s">
        <v>133</v>
      </c>
      <c r="I2" s="26" t="s">
        <v>134</v>
      </c>
      <c r="J2" s="26" t="s">
        <v>135</v>
      </c>
    </row>
    <row r="3" spans="1:19" ht="15.5" x14ac:dyDescent="0.35">
      <c r="A3" s="26">
        <v>2</v>
      </c>
      <c r="B3" s="28">
        <v>46027.355000000003</v>
      </c>
      <c r="C3" s="26" t="s">
        <v>44</v>
      </c>
      <c r="D3" s="26" t="s">
        <v>19</v>
      </c>
      <c r="E3" s="26" t="s">
        <v>136</v>
      </c>
      <c r="F3" s="26" t="s">
        <v>131</v>
      </c>
      <c r="G3" s="26" t="s">
        <v>137</v>
      </c>
      <c r="H3" s="26" t="s">
        <v>133</v>
      </c>
      <c r="I3" s="26" t="s">
        <v>138</v>
      </c>
      <c r="J3" s="26" t="s">
        <v>135</v>
      </c>
    </row>
    <row r="4" spans="1:19" ht="15.5" x14ac:dyDescent="0.35">
      <c r="A4" s="26">
        <v>3</v>
      </c>
      <c r="B4" s="28">
        <v>46027.355902777781</v>
      </c>
      <c r="C4" s="26" t="s">
        <v>129</v>
      </c>
      <c r="D4" s="26" t="s">
        <v>19</v>
      </c>
      <c r="E4" s="26" t="s">
        <v>139</v>
      </c>
      <c r="F4" s="26" t="s">
        <v>18</v>
      </c>
      <c r="G4" s="26" t="s">
        <v>140</v>
      </c>
      <c r="H4" s="26" t="s">
        <v>133</v>
      </c>
      <c r="I4" s="26" t="s">
        <v>141</v>
      </c>
      <c r="J4" s="26" t="s">
        <v>135</v>
      </c>
    </row>
    <row r="5" spans="1:19" x14ac:dyDescent="0.35">
      <c r="A5">
        <v>4</v>
      </c>
      <c r="B5">
        <v>20260110161102</v>
      </c>
      <c r="C5" t="s">
        <v>129</v>
      </c>
      <c r="D5" t="s">
        <v>186</v>
      </c>
      <c r="E5" t="s">
        <v>187</v>
      </c>
      <c r="G5" t="s">
        <v>188</v>
      </c>
      <c r="H5">
        <v>1</v>
      </c>
      <c r="J5" t="s">
        <v>135</v>
      </c>
      <c r="K5" t="s">
        <v>189</v>
      </c>
      <c r="L5" t="s">
        <v>190</v>
      </c>
      <c r="M5">
        <v>2.02601101611026E+18</v>
      </c>
    </row>
    <row r="6" spans="1:19" x14ac:dyDescent="0.35">
      <c r="A6">
        <v>5</v>
      </c>
      <c r="B6">
        <v>20260110161102</v>
      </c>
      <c r="C6" t="s">
        <v>191</v>
      </c>
      <c r="D6" t="s">
        <v>186</v>
      </c>
      <c r="E6" t="s">
        <v>192</v>
      </c>
      <c r="G6" t="s">
        <v>193</v>
      </c>
      <c r="H6">
        <v>1</v>
      </c>
      <c r="J6" t="s">
        <v>135</v>
      </c>
      <c r="K6" t="s">
        <v>189</v>
      </c>
      <c r="L6" t="s">
        <v>190</v>
      </c>
      <c r="M6">
        <v>2.02601101611026E+18</v>
      </c>
    </row>
    <row r="7" spans="1:19" x14ac:dyDescent="0.35">
      <c r="A7">
        <v>6</v>
      </c>
      <c r="B7">
        <v>20260110161756</v>
      </c>
      <c r="C7" t="s">
        <v>129</v>
      </c>
      <c r="E7" t="s">
        <v>194</v>
      </c>
      <c r="G7" t="s">
        <v>195</v>
      </c>
      <c r="H7">
        <v>1</v>
      </c>
      <c r="J7" t="s">
        <v>135</v>
      </c>
      <c r="K7" t="s">
        <v>189</v>
      </c>
      <c r="L7" t="s">
        <v>190</v>
      </c>
    </row>
    <row r="8" spans="1:19" x14ac:dyDescent="0.35">
      <c r="A8">
        <v>7</v>
      </c>
      <c r="B8">
        <v>20260110161854</v>
      </c>
      <c r="C8" t="s">
        <v>129</v>
      </c>
      <c r="E8" t="s">
        <v>196</v>
      </c>
      <c r="G8" t="s">
        <v>197</v>
      </c>
      <c r="H8">
        <v>1</v>
      </c>
      <c r="J8" t="s">
        <v>135</v>
      </c>
      <c r="K8" t="s">
        <v>189</v>
      </c>
      <c r="L8" t="s">
        <v>190</v>
      </c>
    </row>
    <row r="9" spans="1:19" x14ac:dyDescent="0.35">
      <c r="A9">
        <v>8</v>
      </c>
      <c r="B9">
        <v>20260110161913</v>
      </c>
      <c r="C9" t="s">
        <v>129</v>
      </c>
      <c r="E9" t="s">
        <v>196</v>
      </c>
      <c r="G9" t="s">
        <v>198</v>
      </c>
      <c r="H9">
        <v>1</v>
      </c>
      <c r="J9" t="s">
        <v>135</v>
      </c>
      <c r="K9" t="s">
        <v>189</v>
      </c>
      <c r="L9" t="s">
        <v>190</v>
      </c>
    </row>
    <row r="10" spans="1:19" x14ac:dyDescent="0.35">
      <c r="A10">
        <v>9</v>
      </c>
      <c r="B10">
        <v>20260110161943</v>
      </c>
      <c r="C10" t="s">
        <v>129</v>
      </c>
      <c r="D10" t="s">
        <v>186</v>
      </c>
      <c r="E10" t="s">
        <v>187</v>
      </c>
      <c r="G10" t="s">
        <v>199</v>
      </c>
      <c r="H10">
        <v>1</v>
      </c>
      <c r="J10" t="s">
        <v>135</v>
      </c>
      <c r="K10" t="s">
        <v>189</v>
      </c>
      <c r="L10" t="s">
        <v>190</v>
      </c>
      <c r="M10" t="s">
        <v>200</v>
      </c>
    </row>
    <row r="11" spans="1:19" x14ac:dyDescent="0.35">
      <c r="A11">
        <v>10</v>
      </c>
      <c r="B11">
        <v>20260110162438</v>
      </c>
      <c r="C11" t="s">
        <v>129</v>
      </c>
      <c r="D11" t="s">
        <v>186</v>
      </c>
      <c r="E11" t="s">
        <v>187</v>
      </c>
      <c r="G11" t="s">
        <v>201</v>
      </c>
      <c r="H11">
        <v>1</v>
      </c>
      <c r="J11" t="s">
        <v>135</v>
      </c>
      <c r="K11" t="s">
        <v>189</v>
      </c>
      <c r="L11" t="s">
        <v>190</v>
      </c>
      <c r="M11" t="s">
        <v>202</v>
      </c>
    </row>
    <row r="12" spans="1:19" x14ac:dyDescent="0.35">
      <c r="A12">
        <v>11</v>
      </c>
      <c r="B12">
        <v>20260110162438</v>
      </c>
      <c r="C12" t="s">
        <v>191</v>
      </c>
      <c r="D12" t="s">
        <v>186</v>
      </c>
      <c r="E12" t="s">
        <v>203</v>
      </c>
      <c r="F12" t="s">
        <v>204</v>
      </c>
      <c r="G12" t="s">
        <v>205</v>
      </c>
      <c r="H12">
        <v>1</v>
      </c>
      <c r="J12" t="s">
        <v>135</v>
      </c>
      <c r="K12" t="s">
        <v>189</v>
      </c>
      <c r="L12" t="s">
        <v>190</v>
      </c>
      <c r="M12" t="s">
        <v>202</v>
      </c>
      <c r="O12">
        <v>1</v>
      </c>
      <c r="P12">
        <v>20260110162438</v>
      </c>
      <c r="Q12" t="s">
        <v>191</v>
      </c>
      <c r="R12" t="s">
        <v>206</v>
      </c>
      <c r="S12" t="s">
        <v>204</v>
      </c>
    </row>
    <row r="13" spans="1:19" x14ac:dyDescent="0.35">
      <c r="A13">
        <v>12</v>
      </c>
      <c r="B13">
        <v>20260110162438</v>
      </c>
      <c r="C13" t="s">
        <v>129</v>
      </c>
      <c r="D13" t="s">
        <v>186</v>
      </c>
      <c r="E13" t="s">
        <v>207</v>
      </c>
      <c r="F13">
        <v>2</v>
      </c>
      <c r="G13" t="s">
        <v>208</v>
      </c>
      <c r="H13">
        <v>4</v>
      </c>
      <c r="J13" t="s">
        <v>135</v>
      </c>
      <c r="K13" t="s">
        <v>189</v>
      </c>
      <c r="L13" t="s">
        <v>190</v>
      </c>
      <c r="M13" t="s">
        <v>202</v>
      </c>
    </row>
    <row r="14" spans="1:19" x14ac:dyDescent="0.35">
      <c r="A14">
        <v>13</v>
      </c>
      <c r="B14">
        <v>20260110162438</v>
      </c>
      <c r="C14" t="s">
        <v>129</v>
      </c>
      <c r="D14" t="s">
        <v>186</v>
      </c>
      <c r="E14" t="s">
        <v>207</v>
      </c>
      <c r="F14">
        <v>3</v>
      </c>
      <c r="G14" t="s">
        <v>208</v>
      </c>
      <c r="H14">
        <v>4</v>
      </c>
      <c r="J14" t="s">
        <v>135</v>
      </c>
      <c r="K14" t="s">
        <v>189</v>
      </c>
      <c r="L14" t="s">
        <v>190</v>
      </c>
      <c r="M14" t="s">
        <v>202</v>
      </c>
    </row>
    <row r="15" spans="1:19" x14ac:dyDescent="0.35">
      <c r="A15">
        <v>14</v>
      </c>
      <c r="B15">
        <v>20260110162438</v>
      </c>
      <c r="C15" t="s">
        <v>129</v>
      </c>
      <c r="D15" t="s">
        <v>186</v>
      </c>
      <c r="E15" t="s">
        <v>207</v>
      </c>
      <c r="F15">
        <v>4</v>
      </c>
      <c r="G15" t="s">
        <v>208</v>
      </c>
      <c r="H15">
        <v>4</v>
      </c>
      <c r="J15" t="s">
        <v>135</v>
      </c>
      <c r="K15" t="s">
        <v>189</v>
      </c>
      <c r="L15" t="s">
        <v>190</v>
      </c>
      <c r="M15" t="s">
        <v>202</v>
      </c>
    </row>
    <row r="16" spans="1:19" x14ac:dyDescent="0.35">
      <c r="A16">
        <v>15</v>
      </c>
      <c r="B16">
        <v>20260110162438</v>
      </c>
      <c r="C16" t="s">
        <v>129</v>
      </c>
      <c r="D16" t="s">
        <v>186</v>
      </c>
      <c r="E16" t="s">
        <v>209</v>
      </c>
      <c r="G16" t="s">
        <v>210</v>
      </c>
      <c r="H16">
        <v>4</v>
      </c>
      <c r="J16" t="s">
        <v>135</v>
      </c>
      <c r="K16" t="s">
        <v>189</v>
      </c>
      <c r="L16" t="s">
        <v>190</v>
      </c>
      <c r="M16" t="s">
        <v>202</v>
      </c>
    </row>
    <row r="17" spans="1:19" x14ac:dyDescent="0.35">
      <c r="A17">
        <v>16</v>
      </c>
      <c r="B17">
        <v>20260110162456</v>
      </c>
      <c r="C17" t="s">
        <v>129</v>
      </c>
      <c r="D17" t="s">
        <v>186</v>
      </c>
      <c r="E17" t="s">
        <v>192</v>
      </c>
      <c r="G17" t="s">
        <v>211</v>
      </c>
      <c r="H17">
        <v>4</v>
      </c>
      <c r="J17" t="s">
        <v>135</v>
      </c>
      <c r="K17" t="s">
        <v>189</v>
      </c>
      <c r="L17" t="s">
        <v>190</v>
      </c>
      <c r="M17" t="s">
        <v>202</v>
      </c>
    </row>
    <row r="18" spans="1:19" x14ac:dyDescent="0.35">
      <c r="A18">
        <v>17</v>
      </c>
      <c r="B18">
        <v>20260110162554</v>
      </c>
      <c r="C18" t="s">
        <v>191</v>
      </c>
      <c r="D18" t="s">
        <v>186</v>
      </c>
      <c r="E18" t="s">
        <v>203</v>
      </c>
      <c r="F18" t="s">
        <v>204</v>
      </c>
      <c r="G18" t="s">
        <v>205</v>
      </c>
      <c r="H18">
        <v>1</v>
      </c>
      <c r="J18" t="s">
        <v>135</v>
      </c>
      <c r="K18" t="s">
        <v>189</v>
      </c>
      <c r="L18" t="s">
        <v>190</v>
      </c>
      <c r="M18" t="s">
        <v>202</v>
      </c>
      <c r="O18">
        <v>1</v>
      </c>
      <c r="P18">
        <v>20260110162554</v>
      </c>
      <c r="Q18" t="s">
        <v>191</v>
      </c>
      <c r="R18" t="s">
        <v>206</v>
      </c>
      <c r="S18" t="s">
        <v>204</v>
      </c>
    </row>
    <row r="19" spans="1:19" x14ac:dyDescent="0.35">
      <c r="A19">
        <v>18</v>
      </c>
      <c r="B19">
        <v>20260110162554</v>
      </c>
      <c r="C19" t="s">
        <v>129</v>
      </c>
      <c r="D19" t="s">
        <v>186</v>
      </c>
      <c r="E19" t="s">
        <v>207</v>
      </c>
      <c r="F19">
        <v>2</v>
      </c>
      <c r="G19" t="s">
        <v>208</v>
      </c>
      <c r="H19">
        <v>4</v>
      </c>
      <c r="J19" t="s">
        <v>135</v>
      </c>
      <c r="K19" t="s">
        <v>189</v>
      </c>
      <c r="L19" t="s">
        <v>190</v>
      </c>
      <c r="M19" t="s">
        <v>202</v>
      </c>
    </row>
    <row r="20" spans="1:19" x14ac:dyDescent="0.35">
      <c r="A20">
        <v>19</v>
      </c>
      <c r="B20">
        <v>20260110162554</v>
      </c>
      <c r="C20" t="s">
        <v>129</v>
      </c>
      <c r="D20" t="s">
        <v>186</v>
      </c>
      <c r="E20" t="s">
        <v>207</v>
      </c>
      <c r="F20">
        <v>3</v>
      </c>
      <c r="G20" t="s">
        <v>208</v>
      </c>
      <c r="H20">
        <v>4</v>
      </c>
      <c r="J20" t="s">
        <v>135</v>
      </c>
      <c r="K20" t="s">
        <v>189</v>
      </c>
      <c r="L20" t="s">
        <v>190</v>
      </c>
      <c r="M20" t="s">
        <v>202</v>
      </c>
    </row>
    <row r="21" spans="1:19" x14ac:dyDescent="0.35">
      <c r="A21">
        <v>20</v>
      </c>
      <c r="B21">
        <v>20260110162554</v>
      </c>
      <c r="C21" t="s">
        <v>129</v>
      </c>
      <c r="D21" t="s">
        <v>186</v>
      </c>
      <c r="E21" t="s">
        <v>207</v>
      </c>
      <c r="F21">
        <v>4</v>
      </c>
      <c r="G21" t="s">
        <v>208</v>
      </c>
      <c r="H21">
        <v>4</v>
      </c>
      <c r="J21" t="s">
        <v>135</v>
      </c>
      <c r="K21" t="s">
        <v>189</v>
      </c>
      <c r="L21" t="s">
        <v>190</v>
      </c>
      <c r="M21" t="s">
        <v>202</v>
      </c>
    </row>
    <row r="22" spans="1:19" x14ac:dyDescent="0.35">
      <c r="A22">
        <v>21</v>
      </c>
      <c r="B22">
        <v>20260110162554</v>
      </c>
      <c r="C22" t="s">
        <v>129</v>
      </c>
      <c r="D22" t="s">
        <v>186</v>
      </c>
      <c r="E22" t="s">
        <v>209</v>
      </c>
      <c r="G22" t="s">
        <v>210</v>
      </c>
      <c r="H22">
        <v>4</v>
      </c>
      <c r="J22" t="s">
        <v>135</v>
      </c>
      <c r="K22" t="s">
        <v>189</v>
      </c>
      <c r="L22" t="s">
        <v>190</v>
      </c>
      <c r="M22" t="s">
        <v>202</v>
      </c>
    </row>
    <row r="23" spans="1:19" x14ac:dyDescent="0.35">
      <c r="A23">
        <v>22</v>
      </c>
      <c r="B23">
        <v>20260110162842</v>
      </c>
      <c r="C23" t="s">
        <v>129</v>
      </c>
      <c r="D23" t="s">
        <v>186</v>
      </c>
      <c r="E23" t="s">
        <v>192</v>
      </c>
      <c r="G23" t="s">
        <v>211</v>
      </c>
      <c r="H23">
        <v>4</v>
      </c>
      <c r="J23" t="s">
        <v>135</v>
      </c>
      <c r="K23" t="s">
        <v>189</v>
      </c>
      <c r="L23" t="s">
        <v>190</v>
      </c>
      <c r="M23" t="s">
        <v>202</v>
      </c>
    </row>
    <row r="24" spans="1:19" x14ac:dyDescent="0.35">
      <c r="A24">
        <v>23</v>
      </c>
      <c r="B24">
        <v>20260110163152</v>
      </c>
      <c r="C24" t="s">
        <v>129</v>
      </c>
      <c r="D24" t="s">
        <v>186</v>
      </c>
      <c r="E24" t="s">
        <v>187</v>
      </c>
      <c r="G24" t="s">
        <v>212</v>
      </c>
      <c r="H24">
        <v>1</v>
      </c>
      <c r="J24" t="s">
        <v>135</v>
      </c>
      <c r="K24" t="s">
        <v>189</v>
      </c>
      <c r="L24" t="s">
        <v>190</v>
      </c>
      <c r="M24">
        <v>2.0260110163152799E+18</v>
      </c>
    </row>
    <row r="25" spans="1:19" x14ac:dyDescent="0.35">
      <c r="A25">
        <v>24</v>
      </c>
      <c r="B25">
        <v>20260110163152</v>
      </c>
      <c r="C25" t="s">
        <v>191</v>
      </c>
      <c r="D25" t="s">
        <v>186</v>
      </c>
      <c r="E25" t="s">
        <v>203</v>
      </c>
      <c r="F25" t="s">
        <v>204</v>
      </c>
      <c r="G25" t="s">
        <v>205</v>
      </c>
      <c r="H25">
        <v>1</v>
      </c>
      <c r="J25" t="s">
        <v>135</v>
      </c>
      <c r="K25" t="s">
        <v>189</v>
      </c>
      <c r="L25" t="s">
        <v>190</v>
      </c>
      <c r="M25">
        <v>2.0260110163152799E+18</v>
      </c>
      <c r="O25">
        <v>1</v>
      </c>
      <c r="P25">
        <v>20260110163152</v>
      </c>
      <c r="Q25" t="s">
        <v>191</v>
      </c>
      <c r="R25" t="s">
        <v>206</v>
      </c>
      <c r="S25" t="s">
        <v>204</v>
      </c>
    </row>
    <row r="26" spans="1:19" x14ac:dyDescent="0.35">
      <c r="A26">
        <v>25</v>
      </c>
      <c r="B26">
        <v>20260110163152</v>
      </c>
      <c r="C26" t="s">
        <v>129</v>
      </c>
      <c r="D26" t="s">
        <v>186</v>
      </c>
      <c r="E26" t="s">
        <v>207</v>
      </c>
      <c r="F26">
        <v>2</v>
      </c>
      <c r="G26" t="s">
        <v>208</v>
      </c>
      <c r="H26">
        <v>4</v>
      </c>
      <c r="J26" t="s">
        <v>135</v>
      </c>
      <c r="K26" t="s">
        <v>189</v>
      </c>
      <c r="L26" t="s">
        <v>190</v>
      </c>
      <c r="M26">
        <v>2.0260110163152799E+18</v>
      </c>
    </row>
    <row r="27" spans="1:19" x14ac:dyDescent="0.35">
      <c r="A27">
        <v>26</v>
      </c>
      <c r="B27">
        <v>20260110163152</v>
      </c>
      <c r="C27" t="s">
        <v>129</v>
      </c>
      <c r="D27" t="s">
        <v>186</v>
      </c>
      <c r="E27" t="s">
        <v>207</v>
      </c>
      <c r="F27">
        <v>3</v>
      </c>
      <c r="G27" t="s">
        <v>208</v>
      </c>
      <c r="H27">
        <v>4</v>
      </c>
      <c r="J27" t="s">
        <v>135</v>
      </c>
      <c r="K27" t="s">
        <v>189</v>
      </c>
      <c r="L27" t="s">
        <v>190</v>
      </c>
      <c r="M27">
        <v>2.0260110163152799E+18</v>
      </c>
    </row>
    <row r="28" spans="1:19" x14ac:dyDescent="0.35">
      <c r="A28">
        <v>27</v>
      </c>
      <c r="B28">
        <v>20260110163152</v>
      </c>
      <c r="C28" t="s">
        <v>129</v>
      </c>
      <c r="D28" t="s">
        <v>186</v>
      </c>
      <c r="E28" t="s">
        <v>207</v>
      </c>
      <c r="F28">
        <v>4</v>
      </c>
      <c r="G28" t="s">
        <v>208</v>
      </c>
      <c r="H28">
        <v>4</v>
      </c>
      <c r="J28" t="s">
        <v>135</v>
      </c>
      <c r="K28" t="s">
        <v>189</v>
      </c>
      <c r="L28" t="s">
        <v>190</v>
      </c>
      <c r="M28">
        <v>2.0260110163152799E+18</v>
      </c>
    </row>
    <row r="29" spans="1:19" x14ac:dyDescent="0.35">
      <c r="A29">
        <v>28</v>
      </c>
      <c r="B29">
        <v>20260110163152</v>
      </c>
      <c r="C29" t="s">
        <v>129</v>
      </c>
      <c r="D29" t="s">
        <v>186</v>
      </c>
      <c r="E29" t="s">
        <v>209</v>
      </c>
      <c r="G29" t="s">
        <v>210</v>
      </c>
      <c r="H29">
        <v>4</v>
      </c>
      <c r="J29" t="s">
        <v>135</v>
      </c>
      <c r="K29" t="s">
        <v>189</v>
      </c>
      <c r="L29" t="s">
        <v>190</v>
      </c>
      <c r="M29">
        <v>2.0260110163152799E+18</v>
      </c>
    </row>
    <row r="30" spans="1:19" x14ac:dyDescent="0.35">
      <c r="A30">
        <v>29</v>
      </c>
      <c r="B30">
        <v>20260110163158</v>
      </c>
      <c r="C30" t="s">
        <v>129</v>
      </c>
      <c r="D30" t="s">
        <v>186</v>
      </c>
      <c r="E30" t="s">
        <v>192</v>
      </c>
      <c r="G30" t="s">
        <v>211</v>
      </c>
      <c r="H30">
        <v>4</v>
      </c>
      <c r="J30" t="s">
        <v>135</v>
      </c>
      <c r="K30" t="s">
        <v>189</v>
      </c>
      <c r="L30" t="s">
        <v>190</v>
      </c>
      <c r="M30">
        <v>2.0260110163152799E+18</v>
      </c>
    </row>
    <row r="31" spans="1:19" x14ac:dyDescent="0.35">
      <c r="A31">
        <v>30</v>
      </c>
      <c r="B31">
        <v>20260110163159</v>
      </c>
      <c r="C31" t="s">
        <v>191</v>
      </c>
      <c r="D31" t="s">
        <v>186</v>
      </c>
      <c r="E31" t="s">
        <v>203</v>
      </c>
      <c r="F31" t="s">
        <v>213</v>
      </c>
      <c r="G31" t="s">
        <v>214</v>
      </c>
      <c r="H31">
        <v>1</v>
      </c>
      <c r="J31" t="s">
        <v>135</v>
      </c>
      <c r="K31" t="s">
        <v>189</v>
      </c>
      <c r="L31" t="s">
        <v>190</v>
      </c>
      <c r="M31">
        <v>2.0260110163152799E+18</v>
      </c>
      <c r="O31">
        <v>2</v>
      </c>
      <c r="P31">
        <v>20260110163159</v>
      </c>
      <c r="Q31" t="s">
        <v>191</v>
      </c>
      <c r="R31" t="s">
        <v>215</v>
      </c>
      <c r="S31" t="s">
        <v>213</v>
      </c>
    </row>
    <row r="32" spans="1:19" x14ac:dyDescent="0.35">
      <c r="A32">
        <v>31</v>
      </c>
      <c r="B32">
        <v>20260110163159</v>
      </c>
      <c r="C32" t="s">
        <v>191</v>
      </c>
      <c r="D32" t="s">
        <v>186</v>
      </c>
      <c r="E32" t="s">
        <v>203</v>
      </c>
      <c r="F32" t="s">
        <v>216</v>
      </c>
      <c r="G32" t="s">
        <v>217</v>
      </c>
      <c r="H32">
        <v>1</v>
      </c>
      <c r="J32" t="s">
        <v>135</v>
      </c>
      <c r="K32" t="s">
        <v>189</v>
      </c>
      <c r="L32" t="s">
        <v>190</v>
      </c>
      <c r="M32">
        <v>2.0260110163152799E+18</v>
      </c>
      <c r="O32">
        <v>3</v>
      </c>
      <c r="P32">
        <v>20260110163159</v>
      </c>
      <c r="Q32" t="s">
        <v>191</v>
      </c>
      <c r="R32" t="s">
        <v>215</v>
      </c>
      <c r="S32" t="s">
        <v>216</v>
      </c>
    </row>
    <row r="33" spans="1:19" x14ac:dyDescent="0.35">
      <c r="A33">
        <v>32</v>
      </c>
      <c r="B33">
        <v>20260110163159</v>
      </c>
      <c r="C33" t="s">
        <v>191</v>
      </c>
      <c r="D33" t="s">
        <v>186</v>
      </c>
      <c r="E33" t="s">
        <v>203</v>
      </c>
      <c r="F33" t="s">
        <v>218</v>
      </c>
      <c r="G33" t="s">
        <v>219</v>
      </c>
      <c r="H33">
        <v>1</v>
      </c>
      <c r="J33" t="s">
        <v>135</v>
      </c>
      <c r="K33" t="s">
        <v>189</v>
      </c>
      <c r="L33" t="s">
        <v>190</v>
      </c>
      <c r="M33">
        <v>2.0260110163152799E+18</v>
      </c>
      <c r="O33">
        <v>4</v>
      </c>
      <c r="P33">
        <v>20260110163159</v>
      </c>
      <c r="Q33" t="s">
        <v>191</v>
      </c>
      <c r="R33" t="s">
        <v>215</v>
      </c>
      <c r="S33" t="s">
        <v>218</v>
      </c>
    </row>
    <row r="34" spans="1:19" x14ac:dyDescent="0.35">
      <c r="A34">
        <v>33</v>
      </c>
      <c r="B34">
        <v>20260110163159</v>
      </c>
      <c r="C34" t="s">
        <v>191</v>
      </c>
      <c r="D34" t="s">
        <v>186</v>
      </c>
      <c r="E34" t="s">
        <v>203</v>
      </c>
      <c r="F34" t="s">
        <v>220</v>
      </c>
      <c r="G34" t="s">
        <v>221</v>
      </c>
      <c r="H34">
        <v>1</v>
      </c>
      <c r="J34" t="s">
        <v>135</v>
      </c>
      <c r="K34" t="s">
        <v>189</v>
      </c>
      <c r="L34" t="s">
        <v>190</v>
      </c>
      <c r="M34">
        <v>2.0260110163152799E+18</v>
      </c>
      <c r="O34">
        <v>5</v>
      </c>
      <c r="P34">
        <v>20260110163159</v>
      </c>
      <c r="Q34" t="s">
        <v>191</v>
      </c>
      <c r="R34" t="s">
        <v>215</v>
      </c>
      <c r="S34" t="s">
        <v>220</v>
      </c>
    </row>
    <row r="35" spans="1:19" x14ac:dyDescent="0.35">
      <c r="A35">
        <v>34</v>
      </c>
      <c r="B35">
        <v>20260110163159</v>
      </c>
      <c r="C35" t="s">
        <v>191</v>
      </c>
      <c r="D35" t="s">
        <v>186</v>
      </c>
      <c r="E35" t="s">
        <v>203</v>
      </c>
      <c r="F35" t="s">
        <v>222</v>
      </c>
      <c r="G35" t="s">
        <v>223</v>
      </c>
      <c r="H35">
        <v>1</v>
      </c>
      <c r="J35" t="s">
        <v>135</v>
      </c>
      <c r="K35" t="s">
        <v>189</v>
      </c>
      <c r="L35" t="s">
        <v>190</v>
      </c>
      <c r="M35">
        <v>2.0260110163152799E+18</v>
      </c>
      <c r="O35">
        <v>6</v>
      </c>
      <c r="P35">
        <v>20260110163159</v>
      </c>
      <c r="Q35" t="s">
        <v>191</v>
      </c>
      <c r="R35" t="s">
        <v>215</v>
      </c>
      <c r="S35" t="s">
        <v>222</v>
      </c>
    </row>
    <row r="36" spans="1:19" x14ac:dyDescent="0.35">
      <c r="A36">
        <v>35</v>
      </c>
      <c r="B36">
        <v>20260110163214</v>
      </c>
      <c r="C36" t="s">
        <v>129</v>
      </c>
      <c r="D36" t="s">
        <v>186</v>
      </c>
      <c r="E36" t="s">
        <v>209</v>
      </c>
      <c r="G36" t="s">
        <v>210</v>
      </c>
      <c r="H36">
        <v>4</v>
      </c>
      <c r="J36" t="s">
        <v>135</v>
      </c>
      <c r="K36" t="s">
        <v>189</v>
      </c>
      <c r="L36" t="s">
        <v>190</v>
      </c>
      <c r="M36">
        <v>2.0260110163152799E+18</v>
      </c>
    </row>
    <row r="37" spans="1:19" x14ac:dyDescent="0.35">
      <c r="A37">
        <v>36</v>
      </c>
      <c r="B37">
        <v>20260110163217</v>
      </c>
      <c r="C37" t="s">
        <v>129</v>
      </c>
      <c r="D37" t="s">
        <v>186</v>
      </c>
      <c r="E37" t="s">
        <v>207</v>
      </c>
      <c r="F37">
        <v>2</v>
      </c>
      <c r="G37" t="s">
        <v>208</v>
      </c>
      <c r="H37">
        <v>4</v>
      </c>
      <c r="J37" t="s">
        <v>135</v>
      </c>
      <c r="K37" t="s">
        <v>189</v>
      </c>
      <c r="L37" t="s">
        <v>190</v>
      </c>
      <c r="M37">
        <v>2.0260110163152799E+18</v>
      </c>
    </row>
    <row r="38" spans="1:19" x14ac:dyDescent="0.35">
      <c r="A38">
        <v>37</v>
      </c>
      <c r="B38">
        <v>20260110163217</v>
      </c>
      <c r="C38" t="s">
        <v>129</v>
      </c>
      <c r="D38" t="s">
        <v>186</v>
      </c>
      <c r="E38" t="s">
        <v>207</v>
      </c>
      <c r="F38">
        <v>3</v>
      </c>
      <c r="G38" t="s">
        <v>208</v>
      </c>
      <c r="H38">
        <v>4</v>
      </c>
      <c r="J38" t="s">
        <v>135</v>
      </c>
      <c r="K38" t="s">
        <v>189</v>
      </c>
      <c r="L38" t="s">
        <v>190</v>
      </c>
      <c r="M38">
        <v>2.0260110163152799E+18</v>
      </c>
    </row>
    <row r="39" spans="1:19" x14ac:dyDescent="0.35">
      <c r="A39">
        <v>38</v>
      </c>
      <c r="B39">
        <v>20260110163217</v>
      </c>
      <c r="C39" t="s">
        <v>129</v>
      </c>
      <c r="D39" t="s">
        <v>186</v>
      </c>
      <c r="E39" t="s">
        <v>207</v>
      </c>
      <c r="F39">
        <v>4</v>
      </c>
      <c r="G39" t="s">
        <v>208</v>
      </c>
      <c r="H39">
        <v>4</v>
      </c>
      <c r="J39" t="s">
        <v>135</v>
      </c>
      <c r="K39" t="s">
        <v>189</v>
      </c>
      <c r="L39" t="s">
        <v>190</v>
      </c>
      <c r="M39">
        <v>2.0260110163152799E+18</v>
      </c>
    </row>
    <row r="40" spans="1:19" x14ac:dyDescent="0.35">
      <c r="A40">
        <v>39</v>
      </c>
      <c r="B40">
        <v>20260110164226</v>
      </c>
      <c r="C40" t="s">
        <v>129</v>
      </c>
      <c r="D40" t="s">
        <v>186</v>
      </c>
      <c r="E40" t="s">
        <v>187</v>
      </c>
      <c r="G40" t="s">
        <v>224</v>
      </c>
      <c r="H40">
        <v>1</v>
      </c>
      <c r="J40" t="s">
        <v>135</v>
      </c>
      <c r="K40" t="s">
        <v>189</v>
      </c>
      <c r="L40" t="s">
        <v>190</v>
      </c>
      <c r="M40" t="s">
        <v>225</v>
      </c>
    </row>
    <row r="41" spans="1:19" x14ac:dyDescent="0.35">
      <c r="A41">
        <v>40</v>
      </c>
      <c r="B41">
        <v>20260110164230</v>
      </c>
      <c r="C41" t="s">
        <v>191</v>
      </c>
      <c r="D41" t="s">
        <v>186</v>
      </c>
      <c r="E41" t="s">
        <v>203</v>
      </c>
      <c r="F41" t="s">
        <v>204</v>
      </c>
      <c r="G41" t="s">
        <v>205</v>
      </c>
      <c r="H41">
        <v>1</v>
      </c>
      <c r="J41" t="s">
        <v>135</v>
      </c>
      <c r="K41" t="s">
        <v>189</v>
      </c>
      <c r="L41" t="s">
        <v>190</v>
      </c>
      <c r="M41" t="s">
        <v>225</v>
      </c>
      <c r="O41">
        <v>1</v>
      </c>
      <c r="P41">
        <v>20260110164230</v>
      </c>
      <c r="Q41" t="s">
        <v>191</v>
      </c>
      <c r="R41" t="s">
        <v>206</v>
      </c>
      <c r="S41" t="s">
        <v>204</v>
      </c>
    </row>
    <row r="42" spans="1:19" x14ac:dyDescent="0.35">
      <c r="A42">
        <v>41</v>
      </c>
      <c r="B42">
        <v>20260110164230</v>
      </c>
      <c r="C42" t="s">
        <v>129</v>
      </c>
      <c r="D42" t="s">
        <v>186</v>
      </c>
      <c r="E42" t="s">
        <v>207</v>
      </c>
      <c r="F42">
        <v>2</v>
      </c>
      <c r="G42" t="s">
        <v>208</v>
      </c>
      <c r="H42">
        <v>4</v>
      </c>
      <c r="J42" t="s">
        <v>135</v>
      </c>
      <c r="K42" t="s">
        <v>189</v>
      </c>
      <c r="L42" t="s">
        <v>190</v>
      </c>
      <c r="M42" t="s">
        <v>225</v>
      </c>
    </row>
    <row r="43" spans="1:19" x14ac:dyDescent="0.35">
      <c r="A43">
        <v>42</v>
      </c>
      <c r="B43">
        <v>20260110164230</v>
      </c>
      <c r="C43" t="s">
        <v>129</v>
      </c>
      <c r="D43" t="s">
        <v>186</v>
      </c>
      <c r="E43" t="s">
        <v>207</v>
      </c>
      <c r="F43">
        <v>3</v>
      </c>
      <c r="G43" t="s">
        <v>208</v>
      </c>
      <c r="H43">
        <v>4</v>
      </c>
      <c r="J43" t="s">
        <v>135</v>
      </c>
      <c r="K43" t="s">
        <v>189</v>
      </c>
      <c r="L43" t="s">
        <v>190</v>
      </c>
      <c r="M43" t="s">
        <v>225</v>
      </c>
    </row>
    <row r="44" spans="1:19" x14ac:dyDescent="0.35">
      <c r="A44">
        <v>43</v>
      </c>
      <c r="B44">
        <v>20260110164230</v>
      </c>
      <c r="C44" t="s">
        <v>129</v>
      </c>
      <c r="D44" t="s">
        <v>186</v>
      </c>
      <c r="E44" t="s">
        <v>207</v>
      </c>
      <c r="F44">
        <v>4</v>
      </c>
      <c r="G44" t="s">
        <v>208</v>
      </c>
      <c r="H44">
        <v>4</v>
      </c>
      <c r="J44" t="s">
        <v>135</v>
      </c>
      <c r="K44" t="s">
        <v>189</v>
      </c>
      <c r="L44" t="s">
        <v>190</v>
      </c>
      <c r="M44" t="s">
        <v>225</v>
      </c>
    </row>
    <row r="45" spans="1:19" x14ac:dyDescent="0.35">
      <c r="A45">
        <v>44</v>
      </c>
      <c r="B45">
        <v>20260110164230</v>
      </c>
      <c r="C45" t="s">
        <v>129</v>
      </c>
      <c r="D45" t="s">
        <v>186</v>
      </c>
      <c r="E45" t="s">
        <v>209</v>
      </c>
      <c r="G45" t="s">
        <v>210</v>
      </c>
      <c r="H45">
        <v>4</v>
      </c>
      <c r="J45" t="s">
        <v>135</v>
      </c>
      <c r="K45" t="s">
        <v>189</v>
      </c>
      <c r="L45" t="s">
        <v>190</v>
      </c>
      <c r="M45" t="s">
        <v>225</v>
      </c>
    </row>
    <row r="46" spans="1:19" x14ac:dyDescent="0.35">
      <c r="A46">
        <v>45</v>
      </c>
      <c r="B46">
        <v>20260110164238</v>
      </c>
      <c r="C46" t="s">
        <v>129</v>
      </c>
      <c r="D46" t="s">
        <v>186</v>
      </c>
      <c r="E46" t="s">
        <v>192</v>
      </c>
      <c r="G46" t="s">
        <v>211</v>
      </c>
      <c r="H46">
        <v>4</v>
      </c>
      <c r="J46" t="s">
        <v>135</v>
      </c>
      <c r="K46" t="s">
        <v>189</v>
      </c>
      <c r="L46" t="s">
        <v>190</v>
      </c>
      <c r="M46" t="s">
        <v>225</v>
      </c>
    </row>
    <row r="47" spans="1:19" x14ac:dyDescent="0.35">
      <c r="A47">
        <v>46</v>
      </c>
      <c r="B47">
        <v>20260110165434</v>
      </c>
      <c r="C47" t="s">
        <v>129</v>
      </c>
      <c r="D47" t="s">
        <v>186</v>
      </c>
      <c r="E47" t="s">
        <v>187</v>
      </c>
      <c r="G47" t="s">
        <v>226</v>
      </c>
      <c r="H47">
        <v>1</v>
      </c>
      <c r="J47" t="s">
        <v>135</v>
      </c>
      <c r="K47" t="s">
        <v>189</v>
      </c>
      <c r="L47" t="s">
        <v>190</v>
      </c>
      <c r="M47" t="s">
        <v>227</v>
      </c>
    </row>
    <row r="48" spans="1:19" x14ac:dyDescent="0.35">
      <c r="A48" t="s">
        <v>246</v>
      </c>
      <c r="B48" s="20">
        <v>46037.984953703701</v>
      </c>
      <c r="C48" t="s">
        <v>247</v>
      </c>
      <c r="D48" t="s">
        <v>186</v>
      </c>
      <c r="E48" t="s">
        <v>248</v>
      </c>
      <c r="G48" t="s">
        <v>249</v>
      </c>
      <c r="H48" t="s">
        <v>250</v>
      </c>
      <c r="I48">
        <v>369733009</v>
      </c>
      <c r="J48" t="s">
        <v>135</v>
      </c>
    </row>
    <row r="49" spans="1:10" x14ac:dyDescent="0.35">
      <c r="A49" t="s">
        <v>251</v>
      </c>
      <c r="B49" s="20">
        <v>46037.985011574077</v>
      </c>
      <c r="C49" t="s">
        <v>247</v>
      </c>
      <c r="D49" t="s">
        <v>186</v>
      </c>
      <c r="E49" t="s">
        <v>248</v>
      </c>
      <c r="G49" t="s">
        <v>249</v>
      </c>
      <c r="H49" t="s">
        <v>250</v>
      </c>
      <c r="I49">
        <v>232170062</v>
      </c>
      <c r="J49" t="s">
        <v>135</v>
      </c>
    </row>
    <row r="50" spans="1:10" x14ac:dyDescent="0.35">
      <c r="A50" t="s">
        <v>252</v>
      </c>
      <c r="B50" s="20">
        <v>46038.006111111114</v>
      </c>
      <c r="C50" t="s">
        <v>247</v>
      </c>
      <c r="D50" t="s">
        <v>186</v>
      </c>
      <c r="E50" t="s">
        <v>248</v>
      </c>
      <c r="G50" t="s">
        <v>249</v>
      </c>
      <c r="H50" t="s">
        <v>250</v>
      </c>
      <c r="I50">
        <v>1596046923</v>
      </c>
      <c r="J50" t="s">
        <v>135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7097C-6896-4C43-9897-D838EE0F9C5D}">
  <sheetPr codeName="Sheet9"/>
  <dimension ref="A1:C72"/>
  <sheetViews>
    <sheetView zoomScale="53" workbookViewId="0">
      <selection sqref="A1:C54"/>
    </sheetView>
  </sheetViews>
  <sheetFormatPr defaultRowHeight="14.5" x14ac:dyDescent="0.35"/>
  <cols>
    <col min="1" max="1" width="13.90625" customWidth="1"/>
    <col min="2" max="2" width="23.08984375" customWidth="1"/>
    <col min="3" max="3" width="22.08984375" customWidth="1"/>
  </cols>
  <sheetData>
    <row r="1" spans="1:2" x14ac:dyDescent="0.35">
      <c r="A1" t="s">
        <v>82</v>
      </c>
      <c r="B1" t="s">
        <v>142</v>
      </c>
    </row>
    <row r="2" spans="1:2" x14ac:dyDescent="0.35">
      <c r="A2" t="s">
        <v>101</v>
      </c>
      <c r="B2">
        <v>0.92</v>
      </c>
    </row>
    <row r="3" spans="1:2" x14ac:dyDescent="0.35">
      <c r="A3" t="s">
        <v>143</v>
      </c>
      <c r="B3">
        <v>0.78</v>
      </c>
    </row>
    <row r="4" spans="1:2" x14ac:dyDescent="0.35">
      <c r="A4" t="s">
        <v>144</v>
      </c>
      <c r="B4">
        <v>0.85</v>
      </c>
    </row>
    <row r="5" spans="1:2" x14ac:dyDescent="0.35">
      <c r="A5" t="s">
        <v>145</v>
      </c>
      <c r="B5">
        <v>0.65</v>
      </c>
    </row>
    <row r="6" spans="1:2" x14ac:dyDescent="0.35">
      <c r="A6" t="s">
        <v>146</v>
      </c>
      <c r="B6">
        <v>0.88</v>
      </c>
    </row>
    <row r="7" spans="1:2" x14ac:dyDescent="0.35">
      <c r="A7" t="s">
        <v>147</v>
      </c>
      <c r="B7">
        <v>0.9</v>
      </c>
    </row>
    <row r="8" spans="1:2" x14ac:dyDescent="0.35">
      <c r="A8" t="s">
        <v>148</v>
      </c>
      <c r="B8">
        <v>0.72</v>
      </c>
    </row>
    <row r="9" spans="1:2" x14ac:dyDescent="0.35">
      <c r="A9" t="s">
        <v>149</v>
      </c>
      <c r="B9">
        <v>0.81</v>
      </c>
    </row>
    <row r="10" spans="1:2" x14ac:dyDescent="0.35">
      <c r="A10" t="s">
        <v>150</v>
      </c>
      <c r="B10">
        <v>0.95</v>
      </c>
    </row>
    <row r="11" spans="1:2" x14ac:dyDescent="0.35">
      <c r="A11" t="s">
        <v>151</v>
      </c>
      <c r="B11">
        <v>0.69</v>
      </c>
    </row>
    <row r="12" spans="1:2" x14ac:dyDescent="0.35">
      <c r="A12" t="s">
        <v>152</v>
      </c>
      <c r="B12">
        <v>0.87</v>
      </c>
    </row>
    <row r="13" spans="1:2" x14ac:dyDescent="0.35">
      <c r="A13" t="s">
        <v>153</v>
      </c>
      <c r="B13">
        <v>0.76</v>
      </c>
    </row>
    <row r="25" spans="1:2" x14ac:dyDescent="0.35">
      <c r="A25" t="s">
        <v>72</v>
      </c>
      <c r="B25" t="s">
        <v>154</v>
      </c>
    </row>
    <row r="26" spans="1:2" x14ac:dyDescent="0.35">
      <c r="A26" t="s">
        <v>100</v>
      </c>
      <c r="B26">
        <v>1.4999999999999999E-2</v>
      </c>
    </row>
    <row r="27" spans="1:2" x14ac:dyDescent="0.35">
      <c r="A27" t="s">
        <v>155</v>
      </c>
      <c r="B27">
        <v>2.1999999999999999E-2</v>
      </c>
    </row>
    <row r="28" spans="1:2" x14ac:dyDescent="0.35">
      <c r="A28" t="s">
        <v>156</v>
      </c>
      <c r="B28">
        <v>8.0000000000000002E-3</v>
      </c>
    </row>
    <row r="29" spans="1:2" x14ac:dyDescent="0.35">
      <c r="A29" t="s">
        <v>157</v>
      </c>
      <c r="B29">
        <v>1.9E-2</v>
      </c>
    </row>
    <row r="30" spans="1:2" x14ac:dyDescent="0.35">
      <c r="A30" t="s">
        <v>158</v>
      </c>
      <c r="B30">
        <v>1.0999999999999999E-2</v>
      </c>
    </row>
    <row r="31" spans="1:2" x14ac:dyDescent="0.35">
      <c r="A31" t="s">
        <v>159</v>
      </c>
      <c r="B31">
        <v>2.7E-2</v>
      </c>
    </row>
    <row r="32" spans="1:2" x14ac:dyDescent="0.35">
      <c r="A32" t="s">
        <v>160</v>
      </c>
      <c r="B32">
        <v>1.4E-2</v>
      </c>
    </row>
    <row r="33" spans="1:3" x14ac:dyDescent="0.35">
      <c r="A33" t="s">
        <v>161</v>
      </c>
      <c r="B33">
        <v>8.9999999999999993E-3</v>
      </c>
    </row>
    <row r="34" spans="1:3" x14ac:dyDescent="0.35">
      <c r="A34" t="s">
        <v>162</v>
      </c>
      <c r="B34">
        <v>2.1000000000000001E-2</v>
      </c>
    </row>
    <row r="35" spans="1:3" x14ac:dyDescent="0.35">
      <c r="A35" t="s">
        <v>163</v>
      </c>
      <c r="B35">
        <v>1.6E-2</v>
      </c>
    </row>
    <row r="36" spans="1:3" x14ac:dyDescent="0.35">
      <c r="A36" t="s">
        <v>164</v>
      </c>
      <c r="B36">
        <v>1.2999999999999999E-2</v>
      </c>
    </row>
    <row r="37" spans="1:3" x14ac:dyDescent="0.35">
      <c r="A37" t="s">
        <v>165</v>
      </c>
      <c r="B37">
        <v>1.7999999999999999E-2</v>
      </c>
    </row>
    <row r="45" spans="1:3" x14ac:dyDescent="0.35">
      <c r="A45" t="s">
        <v>22</v>
      </c>
      <c r="B45" t="s">
        <v>24</v>
      </c>
      <c r="C45" t="s">
        <v>166</v>
      </c>
    </row>
    <row r="46" spans="1:3" x14ac:dyDescent="0.35">
      <c r="A46" t="s">
        <v>31</v>
      </c>
      <c r="B46">
        <v>2450</v>
      </c>
      <c r="C46">
        <v>3</v>
      </c>
    </row>
    <row r="47" spans="1:3" x14ac:dyDescent="0.35">
      <c r="A47" t="s">
        <v>34</v>
      </c>
      <c r="B47">
        <v>1850</v>
      </c>
      <c r="C47">
        <v>1</v>
      </c>
    </row>
    <row r="48" spans="1:3" x14ac:dyDescent="0.35">
      <c r="A48" t="s">
        <v>36</v>
      </c>
      <c r="B48">
        <v>3200</v>
      </c>
      <c r="C48">
        <v>8</v>
      </c>
    </row>
    <row r="49" spans="1:3" x14ac:dyDescent="0.35">
      <c r="A49" t="s">
        <v>167</v>
      </c>
      <c r="B49">
        <v>2900</v>
      </c>
      <c r="C49">
        <v>5</v>
      </c>
    </row>
    <row r="50" spans="1:3" x14ac:dyDescent="0.35">
      <c r="A50" t="s">
        <v>168</v>
      </c>
      <c r="B50">
        <v>4100</v>
      </c>
      <c r="C50">
        <v>2</v>
      </c>
    </row>
    <row r="51" spans="1:3" x14ac:dyDescent="0.35">
      <c r="A51" t="s">
        <v>169</v>
      </c>
      <c r="B51">
        <v>3600</v>
      </c>
      <c r="C51">
        <v>6</v>
      </c>
    </row>
    <row r="52" spans="1:3" x14ac:dyDescent="0.35">
      <c r="A52" t="s">
        <v>170</v>
      </c>
      <c r="B52">
        <v>2750</v>
      </c>
      <c r="C52">
        <v>4</v>
      </c>
    </row>
    <row r="65" spans="1:2" x14ac:dyDescent="0.35">
      <c r="A65" t="s">
        <v>95</v>
      </c>
      <c r="B65" t="s">
        <v>142</v>
      </c>
    </row>
    <row r="66" spans="1:2" x14ac:dyDescent="0.35">
      <c r="A66" t="s">
        <v>171</v>
      </c>
      <c r="B66">
        <v>0.88</v>
      </c>
    </row>
    <row r="67" spans="1:2" x14ac:dyDescent="0.35">
      <c r="A67" t="s">
        <v>103</v>
      </c>
      <c r="B67">
        <v>0.92</v>
      </c>
    </row>
    <row r="68" spans="1:2" x14ac:dyDescent="0.35">
      <c r="A68" t="s">
        <v>172</v>
      </c>
      <c r="B68">
        <v>0.76</v>
      </c>
    </row>
    <row r="69" spans="1:2" x14ac:dyDescent="0.35">
      <c r="A69" t="s">
        <v>173</v>
      </c>
      <c r="B69">
        <v>0.81</v>
      </c>
    </row>
    <row r="70" spans="1:2" x14ac:dyDescent="0.35">
      <c r="A70" t="s">
        <v>174</v>
      </c>
      <c r="B70">
        <v>0.9</v>
      </c>
    </row>
    <row r="71" spans="1:2" x14ac:dyDescent="0.35">
      <c r="A71" t="s">
        <v>175</v>
      </c>
      <c r="B71">
        <v>0.73</v>
      </c>
    </row>
    <row r="72" spans="1:2" x14ac:dyDescent="0.35">
      <c r="A72" t="s">
        <v>176</v>
      </c>
      <c r="B72">
        <v>0.85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12</vt:i4>
      </vt:variant>
    </vt:vector>
  </HeadingPairs>
  <TitlesOfParts>
    <vt:vector size="34" baseType="lpstr">
      <vt:lpstr>ALERT_CONFIG</vt:lpstr>
      <vt:lpstr>EXECUTIVE_SUMMARY</vt:lpstr>
      <vt:lpstr>COMPLIANCE_AUDIT</vt:lpstr>
      <vt:lpstr>REAL_TIME_ALERTS</vt:lpstr>
      <vt:lpstr>PRESCRIPTIVE_ACTIONS</vt:lpstr>
      <vt:lpstr>PREDICTIVE_MODELS</vt:lpstr>
      <vt:lpstr>DASHBOARD</vt:lpstr>
      <vt:lpstr>RISK_ENTRY_FORM</vt:lpstr>
      <vt:lpstr>RISK_REGISTER</vt:lpstr>
      <vt:lpstr>EQUIPMENT_KPI_DASHBOARD</vt:lpstr>
      <vt:lpstr>EQUIPMENT_HEALTH_METRICS</vt:lpstr>
      <vt:lpstr>EQUIPMENT_STATUS</vt:lpstr>
      <vt:lpstr>USERAUTH</vt:lpstr>
      <vt:lpstr>INTEGRATED_RISK_DASHBOARD</vt:lpstr>
      <vt:lpstr>BATCH_ANOMALY_REPORT</vt:lpstr>
      <vt:lpstr>BATCH_EQUIPMENT_LINK</vt:lpstr>
      <vt:lpstr>FACILITY_CONFIG</vt:lpstr>
      <vt:lpstr>DATA_INTAKE</vt:lpstr>
      <vt:lpstr>FEATURES</vt:lpstr>
      <vt:lpstr>AUDIT_TRAIL</vt:lpstr>
      <vt:lpstr>AUDITLOG</vt:lpstr>
      <vt:lpstr>SENSORCACHE</vt:lpstr>
      <vt:lpstr>F_BatchID</vt:lpstr>
      <vt:lpstr>F_Confidence</vt:lpstr>
      <vt:lpstr>F_Driver1</vt:lpstr>
      <vt:lpstr>F_Driver2</vt:lpstr>
      <vt:lpstr>F_Driver3</vt:lpstr>
      <vt:lpstr>F_EquipmentID</vt:lpstr>
      <vt:lpstr>F_Recommendation</vt:lpstr>
      <vt:lpstr>F_ReviewNotes</vt:lpstr>
      <vt:lpstr>F_RiskScore</vt:lpstr>
      <vt:lpstr>F_Status</vt:lpstr>
      <vt:lpstr>F_SupplierID</vt:lpstr>
      <vt:lpstr>F_TenantID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Akshat Jain</dc:creator>
  <cp:lastModifiedBy>Akshat Jain</cp:lastModifiedBy>
  <cp:lastPrinted>2026-01-17T10:41:47Z</cp:lastPrinted>
  <dcterms:created xsi:type="dcterms:W3CDTF">2026-01-09T05:43:08Z</dcterms:created>
  <dcterms:modified xsi:type="dcterms:W3CDTF">2026-01-17T16:51:11Z</dcterms:modified>
</cp:coreProperties>
</file>